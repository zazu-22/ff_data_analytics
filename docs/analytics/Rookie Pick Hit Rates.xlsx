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lainer" sheetId="1" r:id="rId4"/>
    <sheet state="visible" name="PicksBySeason" sheetId="2" r:id="rId5"/>
    <sheet state="visible" name="Results" sheetId="3" r:id="rId6"/>
  </sheets>
  <definedNames/>
  <calcPr/>
</workbook>
</file>

<file path=xl/sharedStrings.xml><?xml version="1.0" encoding="utf-8"?>
<sst xmlns="http://schemas.openxmlformats.org/spreadsheetml/2006/main" count="503" uniqueCount="256">
  <si>
    <t>Tier 1 by Pos</t>
  </si>
  <si>
    <t>Tier 2 by Pos</t>
  </si>
  <si>
    <t>Tier 3 by Pos</t>
  </si>
  <si>
    <t>Hit</t>
  </si>
  <si>
    <t xml:space="preserve">Mid </t>
  </si>
  <si>
    <t>Miss</t>
  </si>
  <si>
    <t>QB</t>
  </si>
  <si>
    <t>Top 6</t>
  </si>
  <si>
    <t>Top 12</t>
  </si>
  <si>
    <t>Top 18</t>
  </si>
  <si>
    <t>A Tier 1 Season or Multiple Tier 2 or better seasons</t>
  </si>
  <si>
    <t>A Tier 2 Season with a Tier 3 season or multiple Tier 3 seasons</t>
  </si>
  <si>
    <t>Never multiple Tier 3 seasons or better</t>
  </si>
  <si>
    <t>RB</t>
  </si>
  <si>
    <t>Top 24</t>
  </si>
  <si>
    <t>Top 36</t>
  </si>
  <si>
    <t>"</t>
  </si>
  <si>
    <t>WR</t>
  </si>
  <si>
    <t>TE</t>
  </si>
  <si>
    <t>Top 3</t>
  </si>
  <si>
    <t>Player</t>
  </si>
  <si>
    <t>Position</t>
  </si>
  <si>
    <t>Pick</t>
  </si>
  <si>
    <t>Year</t>
  </si>
  <si>
    <t>Tier 1 Season</t>
  </si>
  <si>
    <t>Tier 2 Season</t>
  </si>
  <si>
    <t>Tier 3 Season</t>
  </si>
  <si>
    <t>Saquon Barkley</t>
  </si>
  <si>
    <t>Baker Mayfield</t>
  </si>
  <si>
    <t>Derrius Guice</t>
  </si>
  <si>
    <t>Nick Chubb</t>
  </si>
  <si>
    <t>Josh Rosen</t>
  </si>
  <si>
    <t>Sam Darnold</t>
  </si>
  <si>
    <t>Lamar Jackson</t>
  </si>
  <si>
    <t>Rashaad Penny</t>
  </si>
  <si>
    <t>Sony Michel</t>
  </si>
  <si>
    <t>Ronald Jones</t>
  </si>
  <si>
    <t>DJ Moore</t>
  </si>
  <si>
    <t>Royce Freeman</t>
  </si>
  <si>
    <t>Calvin Ridley</t>
  </si>
  <si>
    <t>Kerryon Johnson</t>
  </si>
  <si>
    <t>Christian Kirk</t>
  </si>
  <si>
    <t>Courtland Sutton</t>
  </si>
  <si>
    <t>Josh Allen</t>
  </si>
  <si>
    <t>James Washington</t>
  </si>
  <si>
    <t>Michael Gallup</t>
  </si>
  <si>
    <t>Anthony Miller</t>
  </si>
  <si>
    <t>Mike Gesicki</t>
  </si>
  <si>
    <t>Dante Pettis</t>
  </si>
  <si>
    <t>Kalen Ballage</t>
  </si>
  <si>
    <t>Mason Rudolph</t>
  </si>
  <si>
    <t>Nyheim Hines</t>
  </si>
  <si>
    <t>Equanimeous St. Brown</t>
  </si>
  <si>
    <t>Dallas Goedert</t>
  </si>
  <si>
    <t>Tre’Quan Smith</t>
  </si>
  <si>
    <t>DJ Chark</t>
  </si>
  <si>
    <t>Antonio Callaway</t>
  </si>
  <si>
    <t>Kyle Lauletta</t>
  </si>
  <si>
    <t>Deon Cain</t>
  </si>
  <si>
    <t>Hayden Hurst</t>
  </si>
  <si>
    <t>DaeSean Hamilton</t>
  </si>
  <si>
    <t>Mark Andrews</t>
  </si>
  <si>
    <t>John Kelly</t>
  </si>
  <si>
    <t>Kyler Murray</t>
  </si>
  <si>
    <t>Josh Jacobs</t>
  </si>
  <si>
    <t xml:space="preserve">Miles Sanders </t>
  </si>
  <si>
    <t xml:space="preserve">David Montgomery </t>
  </si>
  <si>
    <t>N'Keal Harry</t>
  </si>
  <si>
    <t>AJ Brown</t>
  </si>
  <si>
    <t>D'wayne Haskins</t>
  </si>
  <si>
    <t>Darrell Henderson</t>
  </si>
  <si>
    <t>DK Metcalf</t>
  </si>
  <si>
    <t>TJ Hockenson</t>
  </si>
  <si>
    <t>Noah Fant</t>
  </si>
  <si>
    <t>Devin Singletary</t>
  </si>
  <si>
    <t>JJ Arcega-Whiteside</t>
  </si>
  <si>
    <t>Deebo Samuel</t>
  </si>
  <si>
    <t>Marquise Brown</t>
  </si>
  <si>
    <t>Mecole Hardman</t>
  </si>
  <si>
    <t>Damien Harris</t>
  </si>
  <si>
    <t>Justice Hill</t>
  </si>
  <si>
    <t>Terry Mclaurin</t>
  </si>
  <si>
    <t>Daniel Jones</t>
  </si>
  <si>
    <t xml:space="preserve">Andy Isabella </t>
  </si>
  <si>
    <t>Darwin Thompson</t>
  </si>
  <si>
    <t>Alexander Mattison</t>
  </si>
  <si>
    <t>Hakeem Butler</t>
  </si>
  <si>
    <t>Dionte Johnson</t>
  </si>
  <si>
    <t>Irv Smith Jr</t>
  </si>
  <si>
    <t>Ryquell Armstead</t>
  </si>
  <si>
    <t>Preston Williams</t>
  </si>
  <si>
    <t>Myles Gaskin</t>
  </si>
  <si>
    <t>Riley Ridley</t>
  </si>
  <si>
    <t>Kelvin Harmon</t>
  </si>
  <si>
    <t>Trayveon Williams</t>
  </si>
  <si>
    <t xml:space="preserve">Drew Lock </t>
  </si>
  <si>
    <t>Bryce Love</t>
  </si>
  <si>
    <t>Benny Snell Jr</t>
  </si>
  <si>
    <t>Jalen Hurd</t>
  </si>
  <si>
    <t>Joe Burrow</t>
  </si>
  <si>
    <t>Clyde Edwards-Helaire</t>
  </si>
  <si>
    <t>Jonathan Taylor</t>
  </si>
  <si>
    <t>Tua Tagovailoa</t>
  </si>
  <si>
    <t>JK Dobbins</t>
  </si>
  <si>
    <t>D'Andre Swift</t>
  </si>
  <si>
    <t>Cam Akers</t>
  </si>
  <si>
    <t>Jerry Jeudy</t>
  </si>
  <si>
    <t>CeeDee Lamb</t>
  </si>
  <si>
    <t>Justin Herbert</t>
  </si>
  <si>
    <t>Justin Jefferson</t>
  </si>
  <si>
    <t>Jalen Reagor</t>
  </si>
  <si>
    <t>Henry Ruggs II</t>
  </si>
  <si>
    <t>Michael Pittman Jr</t>
  </si>
  <si>
    <t>Tee Higgins</t>
  </si>
  <si>
    <t>LaViska Shenaut</t>
  </si>
  <si>
    <t>Keshawn Vaughn</t>
  </si>
  <si>
    <t>Zack Moss</t>
  </si>
  <si>
    <t>Bryan Edwards</t>
  </si>
  <si>
    <t>Brandon Aiyuk</t>
  </si>
  <si>
    <t>Jalen Hurts</t>
  </si>
  <si>
    <t>Antonio Gibson</t>
  </si>
  <si>
    <t>Aj Dillon</t>
  </si>
  <si>
    <t>Chase Claypool</t>
  </si>
  <si>
    <t>Denzel Mims</t>
  </si>
  <si>
    <t>Cole Kmet</t>
  </si>
  <si>
    <t xml:space="preserve">Van Jefferson </t>
  </si>
  <si>
    <t>Adam Truatman</t>
  </si>
  <si>
    <t>Lynn Bowden</t>
  </si>
  <si>
    <t>Jordan Love</t>
  </si>
  <si>
    <t>Kj Hamler</t>
  </si>
  <si>
    <t>Devin Duvernay</t>
  </si>
  <si>
    <t>Darrynton Evans</t>
  </si>
  <si>
    <t>Antonio Gandy-Golden</t>
  </si>
  <si>
    <t>Deejay Dallas</t>
  </si>
  <si>
    <t>Devin Asiasi</t>
  </si>
  <si>
    <t>Trevor Lawrence</t>
  </si>
  <si>
    <t>Justin Fields</t>
  </si>
  <si>
    <t>Najee Harris</t>
  </si>
  <si>
    <t>Ja'Marr Chase</t>
  </si>
  <si>
    <t>Trey Lance</t>
  </si>
  <si>
    <t>Zach Wilson</t>
  </si>
  <si>
    <t>Kyle Pitts</t>
  </si>
  <si>
    <t>DeVonta Smith</t>
  </si>
  <si>
    <t>Travis Etienne</t>
  </si>
  <si>
    <t>Jaylen Waddle</t>
  </si>
  <si>
    <t>Javonte Williams</t>
  </si>
  <si>
    <t>Trey Sermon</t>
  </si>
  <si>
    <t>Terrace Marshall Jr.</t>
  </si>
  <si>
    <t>Elijah Moore</t>
  </si>
  <si>
    <t>Mac Jones</t>
  </si>
  <si>
    <t>Rashod Bateman</t>
  </si>
  <si>
    <t>Rondale Moore</t>
  </si>
  <si>
    <t>Pat Freiermuth</t>
  </si>
  <si>
    <t>Michael Carter</t>
  </si>
  <si>
    <t>Amari Rodgers</t>
  </si>
  <si>
    <t>Chuba Hubbard</t>
  </si>
  <si>
    <t>Rhamondre Stevenson</t>
  </si>
  <si>
    <t>Kadarius Toney</t>
  </si>
  <si>
    <t>Amon-Ra St. Brown</t>
  </si>
  <si>
    <t>Dee Eskridge</t>
  </si>
  <si>
    <t>Dyami Brown</t>
  </si>
  <si>
    <t>Tutu Atwell</t>
  </si>
  <si>
    <t>Jaret Patterson</t>
  </si>
  <si>
    <t>Nico Collins</t>
  </si>
  <si>
    <t>Kenneth Gainwell</t>
  </si>
  <si>
    <t>Joshua Palmer</t>
  </si>
  <si>
    <t>Tylan Wallace</t>
  </si>
  <si>
    <t>Anthony Schwartz</t>
  </si>
  <si>
    <t>Elijah Mitchell</t>
  </si>
  <si>
    <t>Javian Hawkins</t>
  </si>
  <si>
    <t>Brevin Jordan</t>
  </si>
  <si>
    <t>Breece Hall</t>
  </si>
  <si>
    <t>Drake London</t>
  </si>
  <si>
    <t>Kenneth Walker III</t>
  </si>
  <si>
    <t>Garrett Wilson</t>
  </si>
  <si>
    <t>Treylon Burks</t>
  </si>
  <si>
    <t>Chris Olave</t>
  </si>
  <si>
    <t>George Pickens</t>
  </si>
  <si>
    <t>Kenny Pickett</t>
  </si>
  <si>
    <t>Jameson Williams</t>
  </si>
  <si>
    <t>Christian Watson</t>
  </si>
  <si>
    <t>James Cook</t>
  </si>
  <si>
    <t>Jahan Dotson</t>
  </si>
  <si>
    <t>Skyy Moore</t>
  </si>
  <si>
    <t>Dameon Pierce</t>
  </si>
  <si>
    <t>Rachaad White</t>
  </si>
  <si>
    <t>Isaiah Spiller</t>
  </si>
  <si>
    <t>Alec Pierce</t>
  </si>
  <si>
    <t>Brian Robinson Jr.</t>
  </si>
  <si>
    <t>Jalen Tolbert</t>
  </si>
  <si>
    <t>David Bell</t>
  </si>
  <si>
    <t>Tyler Allgeier</t>
  </si>
  <si>
    <t>Malik Willis</t>
  </si>
  <si>
    <t>Zamir White</t>
  </si>
  <si>
    <t>Wan'Dale Robinson</t>
  </si>
  <si>
    <t>Trey McBride</t>
  </si>
  <si>
    <t>Tyrion Davis-Price</t>
  </si>
  <si>
    <t>Romeo Doubs</t>
  </si>
  <si>
    <t>Desmond Ridder</t>
  </si>
  <si>
    <t>Jelani Woods</t>
  </si>
  <si>
    <t>Khalil Shakir</t>
  </si>
  <si>
    <t>Tyquan Thornton</t>
  </si>
  <si>
    <t>Velus Jones Jr.</t>
  </si>
  <si>
    <t>Hassan Haskins</t>
  </si>
  <si>
    <t>Greg Dulcich</t>
  </si>
  <si>
    <t>John Metchie III</t>
  </si>
  <si>
    <t>Pierre Strong Jr.</t>
  </si>
  <si>
    <t>Bijan Robinson</t>
  </si>
  <si>
    <t>Anthony Richardson</t>
  </si>
  <si>
    <t>Bryce Young</t>
  </si>
  <si>
    <t>CJ Stroud</t>
  </si>
  <si>
    <t>Jhamyr Gibbs</t>
  </si>
  <si>
    <t>Jaxon Smith-Njigba</t>
  </si>
  <si>
    <t>Quentin Johnston</t>
  </si>
  <si>
    <t>Jordan Addison</t>
  </si>
  <si>
    <t>Dalton Kincaid</t>
  </si>
  <si>
    <t>Zay Flowers</t>
  </si>
  <si>
    <t>Will Levis</t>
  </si>
  <si>
    <t>Devon Achane</t>
  </si>
  <si>
    <t>Michael Mayer</t>
  </si>
  <si>
    <t>Zach Charbonnet</t>
  </si>
  <si>
    <t>Jonathan Mingo</t>
  </si>
  <si>
    <t>Kendre Miller</t>
  </si>
  <si>
    <t>Josh Downs</t>
  </si>
  <si>
    <t>Roschon Johnson</t>
  </si>
  <si>
    <t>Tyjae Spears</t>
  </si>
  <si>
    <t>Marvin Mims</t>
  </si>
  <si>
    <t>Rashee Rice</t>
  </si>
  <si>
    <t>Jayden Reed</t>
  </si>
  <si>
    <t>Sam LaPorta</t>
  </si>
  <si>
    <t>Tank Bigsby</t>
  </si>
  <si>
    <t>Hendon Hooker</t>
  </si>
  <si>
    <t>Jalin Hyatt</t>
  </si>
  <si>
    <t>Tucker Kraft</t>
  </si>
  <si>
    <t>Cedric Tillman</t>
  </si>
  <si>
    <t>Chase Brown</t>
  </si>
  <si>
    <t>Xavier Hutchinson</t>
  </si>
  <si>
    <t>Israel Abanikanda</t>
  </si>
  <si>
    <t>Evan Hull</t>
  </si>
  <si>
    <t>Kayshon Boutte</t>
  </si>
  <si>
    <t>Darnell Washington</t>
  </si>
  <si>
    <t>Luke Schoonmaker</t>
  </si>
  <si>
    <t>Zach Evans</t>
  </si>
  <si>
    <t>Hit Rate</t>
  </si>
  <si>
    <t>Mid Rate</t>
  </si>
  <si>
    <t>Miss Rate</t>
  </si>
  <si>
    <t>Top 4</t>
  </si>
  <si>
    <t>1.05 -1.08</t>
  </si>
  <si>
    <t>1.09 - 1.12</t>
  </si>
  <si>
    <t>Top Half of 2nd</t>
  </si>
  <si>
    <t>Bottom Half of 2nd</t>
  </si>
  <si>
    <t>3rd Rd</t>
  </si>
  <si>
    <t>Players that still could realistically be "hits"</t>
  </si>
  <si>
    <t>Chis Olave</t>
  </si>
  <si>
    <t>Jovante Williams</t>
  </si>
  <si>
    <t>Brian Robinson Jr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</si>
</sst>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rgb="FF222222"/>
      <name val="Arial"/>
      <scheme val="minor"/>
    </font>
    <font>
      <sz val="12.0"/>
      <color rgb="FF222222"/>
      <name val="Tahoma"/>
    </font>
    <font>
      <sz val="12.0"/>
      <color rgb="FF000000"/>
      <name val="Arial"/>
      <scheme val="minor"/>
    </font>
    <font>
      <sz val="12.0"/>
      <color theme="1"/>
      <name val="Arial"/>
    </font>
    <font>
      <sz val="12.0"/>
      <color theme="1"/>
      <name val="&quot;Google Sans Mono&quot;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readingOrder="0"/>
    </xf>
    <xf borderId="2" fillId="0" fontId="2" numFmtId="0" xfId="0" applyBorder="1" applyFont="1"/>
    <xf borderId="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3" fillId="0" fontId="1" numFmtId="0" xfId="0" applyBorder="1" applyFont="1"/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2" numFmtId="0" xfId="0" applyFont="1"/>
    <xf borderId="0" fillId="5" fontId="3" numFmtId="0" xfId="0" applyAlignment="1" applyFill="1" applyFont="1">
      <alignment horizontal="left" readingOrder="0" vertical="top"/>
    </xf>
    <xf borderId="0" fillId="5" fontId="4" numFmtId="0" xfId="0" applyAlignment="1" applyFont="1">
      <alignment horizontal="left" readingOrder="0" vertical="top"/>
    </xf>
    <xf borderId="0" fillId="5" fontId="4" numFmtId="2" xfId="0" applyAlignment="1" applyFont="1" applyNumberFormat="1">
      <alignment horizontal="left" readingOrder="0" vertical="top"/>
    </xf>
    <xf borderId="0" fillId="2" fontId="4" numFmtId="0" xfId="0" applyAlignment="1" applyFont="1">
      <alignment horizontal="left" readingOrder="0" vertical="top"/>
    </xf>
    <xf borderId="0" fillId="3" fontId="4" numFmtId="0" xfId="0" applyAlignment="1" applyFont="1">
      <alignment horizontal="left" readingOrder="0" vertical="top"/>
    </xf>
    <xf borderId="0" fillId="4" fontId="4" numFmtId="0" xfId="0" applyAlignment="1" applyFont="1">
      <alignment horizontal="left" readingOrder="0" vertical="top"/>
    </xf>
    <xf borderId="0" fillId="0" fontId="3" numFmtId="0" xfId="0" applyAlignment="1" applyFont="1">
      <alignment horizontal="left" readingOrder="0" vertical="top"/>
    </xf>
    <xf borderId="0" fillId="0" fontId="4" numFmtId="0" xfId="0" applyAlignment="1" applyFont="1">
      <alignment horizontal="left" readingOrder="0" vertical="top"/>
    </xf>
    <xf borderId="0" fillId="0" fontId="4" numFmtId="2" xfId="0" applyAlignment="1" applyFont="1" applyNumberFormat="1">
      <alignment horizontal="left" readingOrder="0" vertical="top"/>
    </xf>
    <xf borderId="0" fillId="2" fontId="1" numFmtId="0" xfId="0" applyFont="1"/>
    <xf borderId="0" fillId="3" fontId="1" numFmtId="0" xfId="0" applyFont="1"/>
    <xf borderId="0" fillId="4" fontId="1" numFmtId="0" xfId="0" applyFont="1"/>
    <xf borderId="0" fillId="4" fontId="1" numFmtId="0" xfId="0" applyAlignment="1" applyFont="1">
      <alignment readingOrder="0"/>
    </xf>
    <xf borderId="0" fillId="0" fontId="1" numFmtId="2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2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0" fontId="5" numFmtId="0" xfId="0" applyAlignment="1" applyFont="1">
      <alignment readingOrder="0" vertical="top"/>
    </xf>
    <xf borderId="0" fillId="0" fontId="6" numFmtId="0" xfId="0" applyAlignment="1" applyFont="1">
      <alignment horizontal="left" readingOrder="0" vertical="top"/>
    </xf>
    <xf borderId="0" fillId="0" fontId="6" numFmtId="0" xfId="0" applyAlignment="1" applyFont="1">
      <alignment vertical="top"/>
    </xf>
    <xf borderId="0" fillId="0" fontId="1" numFmtId="2" xfId="0" applyAlignment="1" applyFont="1" applyNumberFormat="1">
      <alignment horizontal="left"/>
    </xf>
    <xf borderId="0" fillId="0" fontId="1" numFmtId="0" xfId="0" applyAlignment="1" applyFont="1">
      <alignment horizontal="left"/>
    </xf>
    <xf borderId="1" fillId="0" fontId="2" numFmtId="0" xfId="0" applyAlignment="1" applyBorder="1" applyFont="1">
      <alignment horizontal="left"/>
    </xf>
    <xf borderId="3" fillId="0" fontId="2" numFmtId="0" xfId="0" applyAlignment="1" applyBorder="1" applyFont="1">
      <alignment horizontal="left" readingOrder="0"/>
    </xf>
    <xf borderId="0" fillId="0" fontId="1" numFmtId="10" xfId="0" applyFont="1" applyNumberFormat="1"/>
    <xf borderId="0" fillId="5" fontId="1" numFmtId="10" xfId="0" applyFont="1" applyNumberFormat="1"/>
    <xf borderId="0" fillId="0" fontId="1" numFmtId="10" xfId="0" applyAlignment="1" applyFont="1" applyNumberFormat="1">
      <alignment readingOrder="0"/>
    </xf>
    <xf borderId="3" fillId="0" fontId="2" numFmtId="0" xfId="0" applyAlignment="1" applyBorder="1" applyFont="1">
      <alignment horizontal="left"/>
    </xf>
    <xf borderId="0" fillId="5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6.88"/>
    <col customWidth="1" min="7" max="7" width="56.63"/>
    <col customWidth="1" min="8" max="8" width="36.75"/>
  </cols>
  <sheetData>
    <row r="1">
      <c r="A1" s="1"/>
      <c r="B1" s="2" t="s">
        <v>0</v>
      </c>
      <c r="C1" s="2" t="s">
        <v>1</v>
      </c>
      <c r="D1" s="2" t="s">
        <v>2</v>
      </c>
      <c r="E1" s="3"/>
      <c r="F1" s="2" t="s">
        <v>3</v>
      </c>
      <c r="G1" s="2" t="s">
        <v>4</v>
      </c>
      <c r="H1" s="2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5" t="s">
        <v>7</v>
      </c>
      <c r="C2" s="5" t="s">
        <v>8</v>
      </c>
      <c r="D2" s="5" t="s">
        <v>9</v>
      </c>
      <c r="E2" s="6"/>
      <c r="F2" s="5" t="s">
        <v>10</v>
      </c>
      <c r="G2" s="5" t="s">
        <v>11</v>
      </c>
      <c r="H2" s="5" t="s">
        <v>12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13</v>
      </c>
      <c r="B3" s="5" t="s">
        <v>8</v>
      </c>
      <c r="C3" s="5" t="s">
        <v>14</v>
      </c>
      <c r="D3" s="5" t="s">
        <v>15</v>
      </c>
      <c r="E3" s="6"/>
      <c r="F3" s="5" t="s">
        <v>16</v>
      </c>
      <c r="G3" s="5" t="s">
        <v>16</v>
      </c>
      <c r="H3" s="5" t="s">
        <v>16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 t="s">
        <v>17</v>
      </c>
      <c r="B4" s="5" t="s">
        <v>8</v>
      </c>
      <c r="C4" s="5" t="s">
        <v>14</v>
      </c>
      <c r="D4" s="5" t="s">
        <v>15</v>
      </c>
      <c r="E4" s="6"/>
      <c r="F4" s="5" t="s">
        <v>16</v>
      </c>
      <c r="G4" s="5" t="s">
        <v>16</v>
      </c>
      <c r="H4" s="5" t="s">
        <v>16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 t="s">
        <v>18</v>
      </c>
      <c r="B5" s="5" t="s">
        <v>19</v>
      </c>
      <c r="C5" s="5" t="s">
        <v>7</v>
      </c>
      <c r="D5" s="5" t="s">
        <v>8</v>
      </c>
      <c r="E5" s="6"/>
      <c r="F5" s="5" t="s">
        <v>16</v>
      </c>
      <c r="G5" s="5" t="s">
        <v>16</v>
      </c>
      <c r="H5" s="5" t="s">
        <v>16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7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7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7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7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7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7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7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7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7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7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7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7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7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7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7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7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7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7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7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7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7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7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7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7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7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7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7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7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7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7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7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7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7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7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7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7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7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7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7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7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7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7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7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7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7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7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7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7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7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7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7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7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7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7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7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7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7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7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7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7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7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7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7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7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7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7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7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7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7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7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7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7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7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7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7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7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7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7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7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7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7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7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7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7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7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7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7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7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7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7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7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7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7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7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7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7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7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7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7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7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7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7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7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7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7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7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7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7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7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7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7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7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7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7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7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7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7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7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7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7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7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7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7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7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7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7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7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7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7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7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7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7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7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7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7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7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7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7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7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7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7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7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7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7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7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7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7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7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7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7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7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7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7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7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7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7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7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7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7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7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7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7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7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7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7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7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7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7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7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7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7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7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7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7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7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7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7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7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7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7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7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7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7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7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7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7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7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7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7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7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7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7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7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7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7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7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7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7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7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7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7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7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7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7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7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7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7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7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7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7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7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7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7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7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7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7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7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7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7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7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7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7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7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7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7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7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7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7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7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7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7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7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7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7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7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7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7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7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7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7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7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7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7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7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7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7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7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7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7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7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7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7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7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7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7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7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7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7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7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7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7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7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7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7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7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7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7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7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7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7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7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7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7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7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7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7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7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7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7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7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7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7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7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7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7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7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7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7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7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7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7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7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7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7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7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7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7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7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7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7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7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7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7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7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7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7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7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7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7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7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7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7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7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7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7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7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7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7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7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7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7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7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7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7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7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7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7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7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7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7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7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7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7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7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7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7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7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7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7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7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7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7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7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7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7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7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7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7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7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7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7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7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7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7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7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7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7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7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7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7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7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7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7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7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7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7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7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7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7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7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7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7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7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7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7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7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7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7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7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7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7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7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7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7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7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7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7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7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7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7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7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7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7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7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7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7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7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7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7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7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7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7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7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7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7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7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7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7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7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7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7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7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7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7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7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7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7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7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7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7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7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7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7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7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7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7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7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7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7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7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7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7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7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7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7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7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7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7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7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7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7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7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7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7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7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7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7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7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7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7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7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7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7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7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7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7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7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7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7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7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7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7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7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7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7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7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7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7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7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7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7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7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7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7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7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7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7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7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7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7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7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7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7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7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7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7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7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7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7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7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7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7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7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7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7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7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7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7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7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7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7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7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7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7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7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7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7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7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7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7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7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7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7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7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7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7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7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7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7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7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7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7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7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7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7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7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7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7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7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7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7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7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7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7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7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7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7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7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7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7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7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7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7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7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7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7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7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7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7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7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7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7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7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7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7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7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7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7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7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7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7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7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7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7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7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7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7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7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7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7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7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7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7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7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7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7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7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7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7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7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7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7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7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7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7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7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7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7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7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7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7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7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7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7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7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7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7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7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7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7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7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7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7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7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7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7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7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7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7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7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7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7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7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7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7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7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7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7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7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7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7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7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7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7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7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7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7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7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7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7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7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7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7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7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7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7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7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7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7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7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7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7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7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7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7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7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7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7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7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7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7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7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7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7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7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7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7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7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7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7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7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7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7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7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7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7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7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7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7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7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7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7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7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7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7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7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7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7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7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7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7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7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7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7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7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7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7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7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7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7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7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7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7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7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7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7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7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7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7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7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7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7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7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7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7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7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7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7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7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7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7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7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7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7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7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7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7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7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7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7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7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7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7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7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7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7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7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7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7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24.25"/>
    <col customWidth="1" min="3" max="3" width="9.38"/>
    <col customWidth="1" min="4" max="4" width="8.0"/>
    <col customWidth="1" min="6" max="6" width="13.75"/>
    <col customWidth="1" min="7" max="7" width="14.13"/>
    <col customWidth="1" min="8" max="8" width="13.88"/>
  </cols>
  <sheetData>
    <row r="1">
      <c r="A1" s="8"/>
      <c r="B1" s="8" t="s">
        <v>20</v>
      </c>
      <c r="C1" s="8" t="s">
        <v>21</v>
      </c>
      <c r="D1" s="9" t="s">
        <v>22</v>
      </c>
      <c r="E1" s="10" t="s">
        <v>23</v>
      </c>
      <c r="F1" s="11" t="s">
        <v>24</v>
      </c>
      <c r="G1" s="12" t="s">
        <v>25</v>
      </c>
      <c r="H1" s="13" t="s">
        <v>26</v>
      </c>
      <c r="I1" s="14"/>
      <c r="J1" s="8" t="s">
        <v>3</v>
      </c>
      <c r="K1" s="8" t="s">
        <v>4</v>
      </c>
      <c r="L1" s="8" t="s">
        <v>5</v>
      </c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5">
        <v>1.0</v>
      </c>
      <c r="B2" s="15" t="s">
        <v>27</v>
      </c>
      <c r="C2" s="16" t="s">
        <v>13</v>
      </c>
      <c r="D2" s="17">
        <v>1.01</v>
      </c>
      <c r="E2" s="16">
        <v>2018.0</v>
      </c>
      <c r="F2" s="18">
        <v>4.0</v>
      </c>
      <c r="G2" s="19">
        <v>1.0</v>
      </c>
      <c r="H2" s="20">
        <v>1.0</v>
      </c>
      <c r="I2" s="6"/>
      <c r="J2" s="5">
        <v>1.0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21">
        <v>2.0</v>
      </c>
      <c r="B3" s="21" t="s">
        <v>28</v>
      </c>
      <c r="C3" s="22" t="s">
        <v>6</v>
      </c>
      <c r="D3" s="23">
        <v>1.02</v>
      </c>
      <c r="E3" s="16">
        <v>2018.0</v>
      </c>
      <c r="F3" s="18">
        <v>1.0</v>
      </c>
      <c r="G3" s="19">
        <v>1.0</v>
      </c>
      <c r="H3" s="20">
        <v>2.0</v>
      </c>
      <c r="I3" s="6"/>
      <c r="J3" s="5">
        <v>1.0</v>
      </c>
      <c r="K3" s="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5">
        <v>3.0</v>
      </c>
      <c r="B4" s="15" t="s">
        <v>29</v>
      </c>
      <c r="C4" s="16" t="s">
        <v>13</v>
      </c>
      <c r="D4" s="17">
        <v>1.03</v>
      </c>
      <c r="E4" s="16">
        <v>2018.0</v>
      </c>
      <c r="F4" s="18"/>
      <c r="G4" s="19"/>
      <c r="H4" s="20"/>
      <c r="I4" s="6"/>
      <c r="J4" s="6"/>
      <c r="K4" s="6"/>
      <c r="L4" s="5">
        <v>1.0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21">
        <v>4.0</v>
      </c>
      <c r="B5" s="21" t="s">
        <v>30</v>
      </c>
      <c r="C5" s="22" t="s">
        <v>13</v>
      </c>
      <c r="D5" s="23">
        <v>1.04</v>
      </c>
      <c r="E5" s="16">
        <v>2018.0</v>
      </c>
      <c r="F5" s="18">
        <v>3.0</v>
      </c>
      <c r="G5" s="19">
        <v>2.0</v>
      </c>
      <c r="H5" s="20"/>
      <c r="I5" s="6"/>
      <c r="J5" s="5">
        <v>1.0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15">
        <v>5.0</v>
      </c>
      <c r="B6" s="15" t="s">
        <v>31</v>
      </c>
      <c r="C6" s="16" t="s">
        <v>6</v>
      </c>
      <c r="D6" s="17">
        <v>1.05</v>
      </c>
      <c r="E6" s="16">
        <v>2018.0</v>
      </c>
      <c r="F6" s="18"/>
      <c r="G6" s="19"/>
      <c r="H6" s="20"/>
      <c r="I6" s="6"/>
      <c r="J6" s="6"/>
      <c r="K6" s="6"/>
      <c r="L6" s="5">
        <v>1.0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21">
        <v>6.0</v>
      </c>
      <c r="B7" s="21" t="s">
        <v>32</v>
      </c>
      <c r="C7" s="22" t="s">
        <v>6</v>
      </c>
      <c r="D7" s="23">
        <v>1.06</v>
      </c>
      <c r="E7" s="16">
        <v>2018.0</v>
      </c>
      <c r="F7" s="18"/>
      <c r="G7" s="19">
        <v>1.0</v>
      </c>
      <c r="H7" s="20"/>
      <c r="I7" s="6"/>
      <c r="J7" s="6"/>
      <c r="K7" s="6"/>
      <c r="L7" s="5">
        <v>1.0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15">
        <v>7.0</v>
      </c>
      <c r="B8" s="15" t="s">
        <v>33</v>
      </c>
      <c r="C8" s="16" t="s">
        <v>6</v>
      </c>
      <c r="D8" s="17">
        <v>1.07</v>
      </c>
      <c r="E8" s="16">
        <v>2018.0</v>
      </c>
      <c r="F8" s="18">
        <v>3.0</v>
      </c>
      <c r="G8" s="19">
        <v>1.0</v>
      </c>
      <c r="H8" s="20">
        <v>2.0</v>
      </c>
      <c r="I8" s="6"/>
      <c r="J8" s="5">
        <v>1.0</v>
      </c>
      <c r="K8" s="6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21">
        <v>8.0</v>
      </c>
      <c r="B9" s="21" t="s">
        <v>34</v>
      </c>
      <c r="C9" s="22" t="s">
        <v>13</v>
      </c>
      <c r="D9" s="23">
        <v>1.08</v>
      </c>
      <c r="E9" s="16">
        <v>2018.0</v>
      </c>
      <c r="F9" s="18"/>
      <c r="G9" s="19"/>
      <c r="H9" s="20"/>
      <c r="I9" s="6"/>
      <c r="J9" s="6"/>
      <c r="K9" s="6"/>
      <c r="L9" s="5">
        <v>1.0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15">
        <v>9.0</v>
      </c>
      <c r="B10" s="15" t="s">
        <v>35</v>
      </c>
      <c r="C10" s="16" t="s">
        <v>13</v>
      </c>
      <c r="D10" s="17">
        <v>1.09</v>
      </c>
      <c r="E10" s="16">
        <v>2018.0</v>
      </c>
      <c r="F10" s="18"/>
      <c r="G10" s="19">
        <v>1.0</v>
      </c>
      <c r="H10" s="20">
        <v>2.0</v>
      </c>
      <c r="I10" s="6"/>
      <c r="J10" s="6"/>
      <c r="K10" s="5">
        <v>1.0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21">
        <v>10.0</v>
      </c>
      <c r="B11" s="21" t="s">
        <v>36</v>
      </c>
      <c r="C11" s="22" t="s">
        <v>13</v>
      </c>
      <c r="D11" s="23">
        <v>1.1</v>
      </c>
      <c r="E11" s="16">
        <v>2018.0</v>
      </c>
      <c r="F11" s="18"/>
      <c r="G11" s="19"/>
      <c r="H11" s="20"/>
      <c r="I11" s="6"/>
      <c r="J11" s="6"/>
      <c r="K11" s="6"/>
      <c r="L11" s="5">
        <v>1.0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15">
        <v>11.0</v>
      </c>
      <c r="B12" s="15" t="s">
        <v>37</v>
      </c>
      <c r="C12" s="16" t="s">
        <v>17</v>
      </c>
      <c r="D12" s="17">
        <v>1.11</v>
      </c>
      <c r="E12" s="16">
        <v>2018.0</v>
      </c>
      <c r="F12" s="18">
        <v>1.0</v>
      </c>
      <c r="G12" s="19">
        <v>3.0</v>
      </c>
      <c r="H12" s="20">
        <v>3.0</v>
      </c>
      <c r="I12" s="6"/>
      <c r="J12" s="5">
        <v>1.0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21">
        <v>12.0</v>
      </c>
      <c r="B13" s="21" t="s">
        <v>38</v>
      </c>
      <c r="C13" s="5" t="s">
        <v>13</v>
      </c>
      <c r="D13" s="23">
        <v>1.12</v>
      </c>
      <c r="E13" s="16">
        <v>2018.0</v>
      </c>
      <c r="F13" s="24"/>
      <c r="G13" s="25"/>
      <c r="H13" s="26"/>
      <c r="I13" s="6"/>
      <c r="J13" s="6"/>
      <c r="K13" s="6"/>
      <c r="L13" s="5">
        <v>1.0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15">
        <v>13.0</v>
      </c>
      <c r="B14" s="15" t="s">
        <v>39</v>
      </c>
      <c r="C14" s="16" t="s">
        <v>17</v>
      </c>
      <c r="D14" s="17">
        <v>2.01</v>
      </c>
      <c r="E14" s="16">
        <v>2018.0</v>
      </c>
      <c r="F14" s="18">
        <v>1.0</v>
      </c>
      <c r="G14" s="19">
        <v>3.0</v>
      </c>
      <c r="H14" s="27">
        <v>1.0</v>
      </c>
      <c r="I14" s="6"/>
      <c r="J14" s="5">
        <v>1.0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21">
        <v>14.0</v>
      </c>
      <c r="B15" s="21" t="s">
        <v>40</v>
      </c>
      <c r="C15" s="22" t="s">
        <v>13</v>
      </c>
      <c r="D15" s="23">
        <v>2.02</v>
      </c>
      <c r="E15" s="16">
        <v>2018.0</v>
      </c>
      <c r="F15" s="18"/>
      <c r="G15" s="19"/>
      <c r="H15" s="27">
        <v>1.0</v>
      </c>
      <c r="I15" s="6"/>
      <c r="J15" s="6"/>
      <c r="K15" s="6"/>
      <c r="L15" s="5">
        <v>1.0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15">
        <v>15.0</v>
      </c>
      <c r="B16" s="15" t="s">
        <v>41</v>
      </c>
      <c r="C16" s="16" t="s">
        <v>17</v>
      </c>
      <c r="D16" s="17">
        <v>2.03</v>
      </c>
      <c r="E16" s="16">
        <v>2018.0</v>
      </c>
      <c r="F16" s="18">
        <v>1.0</v>
      </c>
      <c r="G16" s="19"/>
      <c r="H16" s="27">
        <v>1.0</v>
      </c>
      <c r="I16" s="6"/>
      <c r="J16" s="5">
        <v>1.0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21">
        <v>16.0</v>
      </c>
      <c r="B17" s="21" t="s">
        <v>42</v>
      </c>
      <c r="C17" s="22" t="s">
        <v>17</v>
      </c>
      <c r="D17" s="23">
        <v>2.04</v>
      </c>
      <c r="E17" s="16">
        <v>2018.0</v>
      </c>
      <c r="F17" s="18"/>
      <c r="G17" s="19">
        <v>2.0</v>
      </c>
      <c r="H17" s="27">
        <v>1.0</v>
      </c>
      <c r="I17" s="6"/>
      <c r="J17" s="5">
        <v>1.0</v>
      </c>
      <c r="K17" s="5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5">
        <v>17.0</v>
      </c>
      <c r="B18" s="15" t="s">
        <v>43</v>
      </c>
      <c r="C18" s="16" t="s">
        <v>6</v>
      </c>
      <c r="D18" s="17">
        <v>2.05</v>
      </c>
      <c r="E18" s="16">
        <v>2018.0</v>
      </c>
      <c r="F18" s="18">
        <v>6.0</v>
      </c>
      <c r="G18" s="19"/>
      <c r="H18" s="26"/>
      <c r="I18" s="6"/>
      <c r="J18" s="5">
        <v>1.0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21">
        <v>18.0</v>
      </c>
      <c r="B19" s="21" t="s">
        <v>44</v>
      </c>
      <c r="C19" s="22" t="s">
        <v>17</v>
      </c>
      <c r="D19" s="23">
        <v>2.06</v>
      </c>
      <c r="E19" s="16">
        <v>2018.0</v>
      </c>
      <c r="F19" s="18"/>
      <c r="G19" s="19"/>
      <c r="H19" s="26"/>
      <c r="I19" s="6"/>
      <c r="J19" s="6"/>
      <c r="K19" s="6"/>
      <c r="L19" s="5">
        <v>1.0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15">
        <v>19.0</v>
      </c>
      <c r="B20" s="15" t="s">
        <v>45</v>
      </c>
      <c r="C20" s="16" t="s">
        <v>17</v>
      </c>
      <c r="D20" s="17">
        <v>2.07</v>
      </c>
      <c r="E20" s="16">
        <v>2018.0</v>
      </c>
      <c r="F20" s="18"/>
      <c r="G20" s="19"/>
      <c r="H20" s="26"/>
      <c r="I20" s="6"/>
      <c r="J20" s="6"/>
      <c r="K20" s="6"/>
      <c r="L20" s="5">
        <v>1.0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21">
        <v>20.0</v>
      </c>
      <c r="B21" s="21" t="s">
        <v>46</v>
      </c>
      <c r="C21" s="22" t="s">
        <v>17</v>
      </c>
      <c r="D21" s="23">
        <v>2.08</v>
      </c>
      <c r="E21" s="16">
        <v>2018.0</v>
      </c>
      <c r="F21" s="18"/>
      <c r="G21" s="19"/>
      <c r="H21" s="26"/>
      <c r="I21" s="6"/>
      <c r="J21" s="6"/>
      <c r="K21" s="6"/>
      <c r="L21" s="5">
        <v>1.0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15">
        <v>21.0</v>
      </c>
      <c r="B22" s="15" t="s">
        <v>47</v>
      </c>
      <c r="C22" s="16" t="s">
        <v>18</v>
      </c>
      <c r="D22" s="17">
        <v>2.09000000000001</v>
      </c>
      <c r="E22" s="16">
        <v>2018.0</v>
      </c>
      <c r="F22" s="18"/>
      <c r="G22" s="19"/>
      <c r="H22" s="27">
        <v>3.0</v>
      </c>
      <c r="I22" s="6"/>
      <c r="J22" s="6"/>
      <c r="K22" s="5">
        <v>1.0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21">
        <v>22.0</v>
      </c>
      <c r="B23" s="21" t="s">
        <v>48</v>
      </c>
      <c r="C23" s="22" t="s">
        <v>17</v>
      </c>
      <c r="D23" s="23">
        <v>2.10000000000001</v>
      </c>
      <c r="E23" s="16">
        <v>2018.0</v>
      </c>
      <c r="F23" s="18"/>
      <c r="G23" s="19"/>
      <c r="H23" s="26"/>
      <c r="I23" s="6"/>
      <c r="J23" s="6"/>
      <c r="K23" s="6"/>
      <c r="L23" s="5">
        <v>1.0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15">
        <v>23.0</v>
      </c>
      <c r="B24" s="15" t="s">
        <v>49</v>
      </c>
      <c r="C24" s="16" t="s">
        <v>13</v>
      </c>
      <c r="D24" s="17">
        <v>2.11000000000001</v>
      </c>
      <c r="E24" s="16">
        <v>2018.0</v>
      </c>
      <c r="F24" s="18"/>
      <c r="G24" s="19"/>
      <c r="H24" s="26"/>
      <c r="I24" s="6"/>
      <c r="J24" s="6"/>
      <c r="K24" s="6"/>
      <c r="L24" s="5">
        <v>1.0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21">
        <v>24.0</v>
      </c>
      <c r="B25" s="21" t="s">
        <v>50</v>
      </c>
      <c r="C25" s="5" t="s">
        <v>6</v>
      </c>
      <c r="D25" s="23">
        <v>2.12000000000001</v>
      </c>
      <c r="E25" s="16">
        <v>2018.0</v>
      </c>
      <c r="F25" s="24"/>
      <c r="G25" s="25"/>
      <c r="H25" s="26"/>
      <c r="I25" s="6"/>
      <c r="J25" s="6"/>
      <c r="K25" s="6"/>
      <c r="L25" s="5">
        <v>1.0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15">
        <v>25.0</v>
      </c>
      <c r="B26" s="15" t="s">
        <v>51</v>
      </c>
      <c r="C26" s="16" t="s">
        <v>13</v>
      </c>
      <c r="D26" s="17">
        <v>3.01</v>
      </c>
      <c r="E26" s="16">
        <v>2018.0</v>
      </c>
      <c r="F26" s="18"/>
      <c r="G26" s="19">
        <v>1.0</v>
      </c>
      <c r="H26" s="27">
        <v>1.0</v>
      </c>
      <c r="I26" s="6"/>
      <c r="J26" s="6"/>
      <c r="K26" s="5">
        <v>1.0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21">
        <v>26.0</v>
      </c>
      <c r="B27" s="21" t="s">
        <v>52</v>
      </c>
      <c r="C27" s="22" t="s">
        <v>17</v>
      </c>
      <c r="D27" s="23">
        <v>3.02</v>
      </c>
      <c r="E27" s="16">
        <v>2018.0</v>
      </c>
      <c r="F27" s="18"/>
      <c r="G27" s="19"/>
      <c r="H27" s="26"/>
      <c r="I27" s="6"/>
      <c r="J27" s="6"/>
      <c r="K27" s="6"/>
      <c r="L27" s="5">
        <v>1.0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15">
        <v>27.0</v>
      </c>
      <c r="B28" s="15" t="s">
        <v>53</v>
      </c>
      <c r="C28" s="16" t="s">
        <v>18</v>
      </c>
      <c r="D28" s="17">
        <v>3.03</v>
      </c>
      <c r="E28" s="16">
        <v>2018.0</v>
      </c>
      <c r="F28" s="18"/>
      <c r="G28" s="19"/>
      <c r="H28" s="27">
        <v>3.0</v>
      </c>
      <c r="I28" s="6"/>
      <c r="J28" s="6"/>
      <c r="K28" s="5">
        <v>1.0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21">
        <v>28.0</v>
      </c>
      <c r="B29" s="21" t="s">
        <v>54</v>
      </c>
      <c r="C29" s="22" t="s">
        <v>17</v>
      </c>
      <c r="D29" s="23">
        <v>3.04</v>
      </c>
      <c r="E29" s="16">
        <v>2018.0</v>
      </c>
      <c r="F29" s="18"/>
      <c r="G29" s="19"/>
      <c r="H29" s="26"/>
      <c r="I29" s="6"/>
      <c r="J29" s="6"/>
      <c r="K29" s="6"/>
      <c r="L29" s="5">
        <v>1.0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15">
        <v>29.0</v>
      </c>
      <c r="B30" s="15" t="s">
        <v>55</v>
      </c>
      <c r="C30" s="16" t="s">
        <v>17</v>
      </c>
      <c r="D30" s="17">
        <v>3.05</v>
      </c>
      <c r="E30" s="16">
        <v>2018.0</v>
      </c>
      <c r="F30" s="18"/>
      <c r="G30" s="19">
        <v>1.0</v>
      </c>
      <c r="H30" s="26"/>
      <c r="I30" s="6"/>
      <c r="J30" s="6"/>
      <c r="K30" s="6"/>
      <c r="L30" s="5">
        <v>1.0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21">
        <v>30.0</v>
      </c>
      <c r="B31" s="21" t="s">
        <v>56</v>
      </c>
      <c r="C31" s="22" t="s">
        <v>17</v>
      </c>
      <c r="D31" s="23">
        <v>3.06</v>
      </c>
      <c r="E31" s="16">
        <v>2018.0</v>
      </c>
      <c r="F31" s="18"/>
      <c r="G31" s="19"/>
      <c r="H31" s="26"/>
      <c r="I31" s="6"/>
      <c r="J31" s="6"/>
      <c r="K31" s="6"/>
      <c r="L31" s="5">
        <v>1.0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15">
        <v>31.0</v>
      </c>
      <c r="B32" s="15" t="s">
        <v>57</v>
      </c>
      <c r="C32" s="16" t="s">
        <v>6</v>
      </c>
      <c r="D32" s="17">
        <v>3.07</v>
      </c>
      <c r="E32" s="16">
        <v>2018.0</v>
      </c>
      <c r="F32" s="18"/>
      <c r="G32" s="19"/>
      <c r="H32" s="26"/>
      <c r="I32" s="6"/>
      <c r="J32" s="6"/>
      <c r="K32" s="6"/>
      <c r="L32" s="5">
        <v>1.0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21">
        <v>32.0</v>
      </c>
      <c r="B33" s="21" t="s">
        <v>58</v>
      </c>
      <c r="C33" s="22" t="s">
        <v>17</v>
      </c>
      <c r="D33" s="23">
        <v>3.08</v>
      </c>
      <c r="E33" s="16">
        <v>2018.0</v>
      </c>
      <c r="F33" s="18"/>
      <c r="G33" s="19"/>
      <c r="H33" s="26"/>
      <c r="I33" s="6"/>
      <c r="J33" s="6"/>
      <c r="K33" s="6"/>
      <c r="L33" s="5">
        <v>1.0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15">
        <v>33.0</v>
      </c>
      <c r="B34" s="15" t="s">
        <v>59</v>
      </c>
      <c r="C34" s="16" t="s">
        <v>18</v>
      </c>
      <c r="D34" s="17">
        <v>3.09000000000001</v>
      </c>
      <c r="E34" s="16">
        <v>2018.0</v>
      </c>
      <c r="F34" s="18"/>
      <c r="G34" s="19"/>
      <c r="H34" s="26"/>
      <c r="I34" s="6"/>
      <c r="J34" s="6"/>
      <c r="K34" s="6"/>
      <c r="L34" s="5">
        <v>1.0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21">
        <v>34.0</v>
      </c>
      <c r="B35" s="21" t="s">
        <v>60</v>
      </c>
      <c r="C35" s="22" t="s">
        <v>17</v>
      </c>
      <c r="D35" s="23">
        <v>3.10000000000001</v>
      </c>
      <c r="E35" s="16">
        <v>2018.0</v>
      </c>
      <c r="F35" s="18"/>
      <c r="G35" s="19"/>
      <c r="H35" s="26"/>
      <c r="I35" s="6"/>
      <c r="J35" s="6"/>
      <c r="K35" s="6"/>
      <c r="L35" s="5">
        <v>1.0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15">
        <v>35.0</v>
      </c>
      <c r="B36" s="15" t="s">
        <v>61</v>
      </c>
      <c r="C36" s="16" t="s">
        <v>18</v>
      </c>
      <c r="D36" s="17">
        <v>3.11000000000001</v>
      </c>
      <c r="E36" s="16">
        <v>2018.0</v>
      </c>
      <c r="F36" s="18">
        <v>1.0</v>
      </c>
      <c r="G36" s="19">
        <v>4.0</v>
      </c>
      <c r="H36" s="27"/>
      <c r="I36" s="6"/>
      <c r="J36" s="5">
        <v>1.0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21">
        <v>36.0</v>
      </c>
      <c r="B37" s="21" t="s">
        <v>62</v>
      </c>
      <c r="C37" s="5" t="s">
        <v>13</v>
      </c>
      <c r="D37" s="23">
        <v>3.12000000000001</v>
      </c>
      <c r="E37" s="16">
        <v>2018.0</v>
      </c>
      <c r="F37" s="24"/>
      <c r="G37" s="25"/>
      <c r="H37" s="26"/>
      <c r="I37" s="6"/>
      <c r="J37" s="6"/>
      <c r="K37" s="6"/>
      <c r="L37" s="5">
        <v>1.0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15">
        <v>37.0</v>
      </c>
      <c r="B38" s="5" t="s">
        <v>63</v>
      </c>
      <c r="C38" s="5" t="s">
        <v>6</v>
      </c>
      <c r="D38" s="28">
        <v>1.01</v>
      </c>
      <c r="E38" s="29">
        <v>2019.0</v>
      </c>
      <c r="F38" s="30">
        <v>1.0</v>
      </c>
      <c r="G38" s="31">
        <v>3.0</v>
      </c>
      <c r="H38" s="26"/>
      <c r="I38" s="6"/>
      <c r="J38" s="5">
        <v>1.0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21">
        <v>38.0</v>
      </c>
      <c r="B39" s="5" t="s">
        <v>64</v>
      </c>
      <c r="C39" s="5" t="s">
        <v>13</v>
      </c>
      <c r="D39" s="28">
        <v>1.02</v>
      </c>
      <c r="E39" s="29">
        <v>2019.0</v>
      </c>
      <c r="F39" s="30">
        <v>4.0</v>
      </c>
      <c r="G39" s="31">
        <v>1.0</v>
      </c>
      <c r="H39" s="27">
        <v>1.0</v>
      </c>
      <c r="I39" s="6"/>
      <c r="J39" s="5">
        <v>1.0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15">
        <v>39.0</v>
      </c>
      <c r="B40" s="5" t="s">
        <v>65</v>
      </c>
      <c r="C40" s="5" t="s">
        <v>13</v>
      </c>
      <c r="D40" s="28">
        <v>1.03</v>
      </c>
      <c r="E40" s="29">
        <v>2019.0</v>
      </c>
      <c r="F40" s="24"/>
      <c r="G40" s="31">
        <v>3.0</v>
      </c>
      <c r="H40" s="26"/>
      <c r="I40" s="6"/>
      <c r="J40" s="5">
        <v>1.0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21">
        <v>40.0</v>
      </c>
      <c r="B41" s="5" t="s">
        <v>66</v>
      </c>
      <c r="C41" s="5" t="s">
        <v>13</v>
      </c>
      <c r="D41" s="28">
        <v>1.04</v>
      </c>
      <c r="E41" s="29">
        <v>2019.0</v>
      </c>
      <c r="F41" s="30">
        <v>1.0</v>
      </c>
      <c r="G41" s="31">
        <v>5.0</v>
      </c>
      <c r="H41" s="26"/>
      <c r="I41" s="6"/>
      <c r="J41" s="5">
        <v>1.0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15">
        <v>41.0</v>
      </c>
      <c r="B42" s="5" t="s">
        <v>67</v>
      </c>
      <c r="C42" s="5" t="s">
        <v>17</v>
      </c>
      <c r="D42" s="28">
        <v>1.05</v>
      </c>
      <c r="E42" s="29">
        <v>2019.0</v>
      </c>
      <c r="F42" s="24"/>
      <c r="G42" s="25"/>
      <c r="H42" s="26"/>
      <c r="I42" s="6"/>
      <c r="J42" s="6"/>
      <c r="K42" s="6"/>
      <c r="L42" s="5">
        <v>1.0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21">
        <v>42.0</v>
      </c>
      <c r="B43" s="5" t="s">
        <v>68</v>
      </c>
      <c r="C43" s="5" t="s">
        <v>17</v>
      </c>
      <c r="D43" s="28">
        <v>1.06</v>
      </c>
      <c r="E43" s="29">
        <v>2019.0</v>
      </c>
      <c r="F43" s="30">
        <v>4.0</v>
      </c>
      <c r="G43" s="31">
        <v>1.0</v>
      </c>
      <c r="H43" s="27">
        <v>1.0</v>
      </c>
      <c r="I43" s="6"/>
      <c r="J43" s="5">
        <v>1.0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15">
        <v>43.0</v>
      </c>
      <c r="B44" s="5" t="s">
        <v>69</v>
      </c>
      <c r="C44" s="5" t="s">
        <v>6</v>
      </c>
      <c r="D44" s="28">
        <v>1.07</v>
      </c>
      <c r="E44" s="29">
        <v>2019.0</v>
      </c>
      <c r="F44" s="24"/>
      <c r="G44" s="25"/>
      <c r="H44" s="26"/>
      <c r="I44" s="6"/>
      <c r="J44" s="6"/>
      <c r="K44" s="6"/>
      <c r="L44" s="5">
        <v>1.0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21">
        <v>44.0</v>
      </c>
      <c r="B45" s="5" t="s">
        <v>70</v>
      </c>
      <c r="C45" s="5" t="s">
        <v>13</v>
      </c>
      <c r="D45" s="28">
        <v>1.08</v>
      </c>
      <c r="E45" s="29">
        <v>2019.0</v>
      </c>
      <c r="F45" s="24"/>
      <c r="G45" s="25"/>
      <c r="H45" s="27">
        <v>1.0</v>
      </c>
      <c r="I45" s="6"/>
      <c r="J45" s="6"/>
      <c r="K45" s="6"/>
      <c r="L45" s="5">
        <v>1.0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15">
        <v>45.0</v>
      </c>
      <c r="B46" s="5" t="s">
        <v>71</v>
      </c>
      <c r="C46" s="5" t="s">
        <v>17</v>
      </c>
      <c r="D46" s="28">
        <v>1.09</v>
      </c>
      <c r="E46" s="29">
        <v>2019.0</v>
      </c>
      <c r="F46" s="30">
        <v>1.0</v>
      </c>
      <c r="G46" s="31">
        <v>3.0</v>
      </c>
      <c r="H46" s="27">
        <v>2.0</v>
      </c>
      <c r="I46" s="6"/>
      <c r="J46" s="5">
        <v>1.0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21">
        <v>46.0</v>
      </c>
      <c r="B47" s="5" t="s">
        <v>72</v>
      </c>
      <c r="C47" s="5" t="s">
        <v>18</v>
      </c>
      <c r="D47" s="28">
        <v>1.1</v>
      </c>
      <c r="E47" s="29">
        <v>2019.0</v>
      </c>
      <c r="F47" s="30">
        <v>1.0</v>
      </c>
      <c r="G47" s="31">
        <v>2.0</v>
      </c>
      <c r="H47" s="27"/>
      <c r="I47" s="6"/>
      <c r="J47" s="5">
        <v>1.0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15">
        <v>47.0</v>
      </c>
      <c r="B48" s="5" t="s">
        <v>73</v>
      </c>
      <c r="C48" s="5" t="s">
        <v>18</v>
      </c>
      <c r="D48" s="28">
        <v>1.11</v>
      </c>
      <c r="E48" s="29">
        <v>2019.0</v>
      </c>
      <c r="F48" s="24"/>
      <c r="G48" s="31"/>
      <c r="H48" s="27">
        <v>2.0</v>
      </c>
      <c r="I48" s="6"/>
      <c r="J48" s="6"/>
      <c r="K48" s="5">
        <v>1.0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21">
        <v>48.0</v>
      </c>
      <c r="B49" s="5" t="s">
        <v>74</v>
      </c>
      <c r="C49" s="5" t="s">
        <v>13</v>
      </c>
      <c r="D49" s="28">
        <v>1.12</v>
      </c>
      <c r="E49" s="29">
        <v>2019.0</v>
      </c>
      <c r="F49" s="24"/>
      <c r="G49" s="31">
        <v>2.0</v>
      </c>
      <c r="H49" s="27">
        <v>3.0</v>
      </c>
      <c r="I49" s="6"/>
      <c r="J49" s="5">
        <v>1.0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15">
        <v>49.0</v>
      </c>
      <c r="B50" s="5" t="s">
        <v>75</v>
      </c>
      <c r="C50" s="5" t="s">
        <v>17</v>
      </c>
      <c r="D50" s="28">
        <v>2.01</v>
      </c>
      <c r="E50" s="29">
        <v>2019.0</v>
      </c>
      <c r="F50" s="24"/>
      <c r="G50" s="25"/>
      <c r="H50" s="26"/>
      <c r="I50" s="6"/>
      <c r="J50" s="6"/>
      <c r="K50" s="6"/>
      <c r="L50" s="5">
        <v>1.0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21">
        <v>50.0</v>
      </c>
      <c r="B51" s="5" t="s">
        <v>76</v>
      </c>
      <c r="C51" s="5" t="s">
        <v>17</v>
      </c>
      <c r="D51" s="28">
        <v>2.02</v>
      </c>
      <c r="E51" s="29">
        <v>2019.0</v>
      </c>
      <c r="F51" s="30">
        <v>1.0</v>
      </c>
      <c r="G51" s="31">
        <v>1.0</v>
      </c>
      <c r="H51" s="27">
        <v>1.0</v>
      </c>
      <c r="I51" s="6"/>
      <c r="J51" s="5">
        <v>1.0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15">
        <v>51.0</v>
      </c>
      <c r="B52" s="5" t="s">
        <v>77</v>
      </c>
      <c r="C52" s="5" t="s">
        <v>17</v>
      </c>
      <c r="D52" s="28">
        <v>2.03</v>
      </c>
      <c r="E52" s="29">
        <v>2019.0</v>
      </c>
      <c r="F52" s="24"/>
      <c r="G52" s="31">
        <v>1.0</v>
      </c>
      <c r="H52" s="27">
        <v>1.0</v>
      </c>
      <c r="I52" s="6"/>
      <c r="J52" s="6"/>
      <c r="K52" s="5">
        <v>1.0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21">
        <v>52.0</v>
      </c>
      <c r="B53" s="5" t="s">
        <v>78</v>
      </c>
      <c r="C53" s="5" t="s">
        <v>17</v>
      </c>
      <c r="D53" s="28">
        <v>2.04</v>
      </c>
      <c r="E53" s="29">
        <v>2019.0</v>
      </c>
      <c r="F53" s="24"/>
      <c r="G53" s="25"/>
      <c r="H53" s="26"/>
      <c r="I53" s="6"/>
      <c r="J53" s="6"/>
      <c r="K53" s="6"/>
      <c r="L53" s="5">
        <v>1.0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15">
        <v>53.0</v>
      </c>
      <c r="B54" s="5" t="s">
        <v>79</v>
      </c>
      <c r="C54" s="5" t="s">
        <v>13</v>
      </c>
      <c r="D54" s="28">
        <v>2.05</v>
      </c>
      <c r="E54" s="29">
        <v>2019.0</v>
      </c>
      <c r="F54" s="24"/>
      <c r="G54" s="31">
        <v>1.0</v>
      </c>
      <c r="H54" s="26"/>
      <c r="I54" s="6"/>
      <c r="J54" s="6"/>
      <c r="K54" s="5"/>
      <c r="L54" s="5">
        <v>1.0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21">
        <v>54.0</v>
      </c>
      <c r="B55" s="5" t="s">
        <v>80</v>
      </c>
      <c r="C55" s="5" t="s">
        <v>13</v>
      </c>
      <c r="D55" s="28">
        <v>2.06</v>
      </c>
      <c r="E55" s="29">
        <v>2019.0</v>
      </c>
      <c r="F55" s="24"/>
      <c r="G55" s="25"/>
      <c r="H55" s="26"/>
      <c r="I55" s="6"/>
      <c r="J55" s="6"/>
      <c r="K55" s="6"/>
      <c r="L55" s="5">
        <v>1.0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15">
        <v>55.0</v>
      </c>
      <c r="B56" s="5" t="s">
        <v>81</v>
      </c>
      <c r="C56" s="5" t="s">
        <v>17</v>
      </c>
      <c r="D56" s="28">
        <v>2.07</v>
      </c>
      <c r="E56" s="29">
        <v>2019.0</v>
      </c>
      <c r="F56" s="30">
        <v>1.0</v>
      </c>
      <c r="G56" s="31">
        <v>2.0</v>
      </c>
      <c r="H56" s="27">
        <v>3.0</v>
      </c>
      <c r="I56" s="6"/>
      <c r="J56" s="5">
        <v>1.0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21">
        <v>56.0</v>
      </c>
      <c r="B57" s="5" t="s">
        <v>82</v>
      </c>
      <c r="C57" s="5" t="s">
        <v>6</v>
      </c>
      <c r="D57" s="28">
        <v>2.08</v>
      </c>
      <c r="E57" s="29">
        <v>2019.0</v>
      </c>
      <c r="F57" s="24"/>
      <c r="G57" s="31">
        <v>1.0</v>
      </c>
      <c r="H57" s="26"/>
      <c r="I57" s="6"/>
      <c r="J57" s="6"/>
      <c r="K57" s="6"/>
      <c r="L57" s="5">
        <v>1.0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15">
        <v>57.0</v>
      </c>
      <c r="B58" s="5" t="s">
        <v>83</v>
      </c>
      <c r="C58" s="5" t="s">
        <v>17</v>
      </c>
      <c r="D58" s="28">
        <v>2.09000000000001</v>
      </c>
      <c r="E58" s="29">
        <v>2019.0</v>
      </c>
      <c r="F58" s="24"/>
      <c r="G58" s="25"/>
      <c r="H58" s="26"/>
      <c r="I58" s="6"/>
      <c r="J58" s="6"/>
      <c r="K58" s="6"/>
      <c r="L58" s="5">
        <v>1.0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21">
        <v>58.0</v>
      </c>
      <c r="B59" s="5" t="s">
        <v>84</v>
      </c>
      <c r="C59" s="5" t="s">
        <v>13</v>
      </c>
      <c r="D59" s="28">
        <v>2.10000000000001</v>
      </c>
      <c r="E59" s="29">
        <v>2019.0</v>
      </c>
      <c r="F59" s="24"/>
      <c r="G59" s="25"/>
      <c r="H59" s="26"/>
      <c r="I59" s="6"/>
      <c r="J59" s="6"/>
      <c r="K59" s="6"/>
      <c r="L59" s="5">
        <v>1.0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15">
        <v>59.0</v>
      </c>
      <c r="B60" s="5" t="s">
        <v>85</v>
      </c>
      <c r="C60" s="5" t="s">
        <v>13</v>
      </c>
      <c r="D60" s="28">
        <v>2.11000000000001</v>
      </c>
      <c r="E60" s="29">
        <v>2019.0</v>
      </c>
      <c r="F60" s="24"/>
      <c r="G60" s="25"/>
      <c r="H60" s="27">
        <v>1.0</v>
      </c>
      <c r="I60" s="6"/>
      <c r="J60" s="6"/>
      <c r="K60" s="6"/>
      <c r="L60" s="5">
        <v>1.0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21">
        <v>60.0</v>
      </c>
      <c r="B61" s="5" t="s">
        <v>86</v>
      </c>
      <c r="C61" s="5" t="s">
        <v>17</v>
      </c>
      <c r="D61" s="28">
        <v>2.12000000000001</v>
      </c>
      <c r="E61" s="29">
        <v>2019.0</v>
      </c>
      <c r="F61" s="24"/>
      <c r="G61" s="25"/>
      <c r="H61" s="26"/>
      <c r="I61" s="6"/>
      <c r="J61" s="6"/>
      <c r="K61" s="6"/>
      <c r="L61" s="5">
        <v>1.0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15">
        <v>61.0</v>
      </c>
      <c r="B62" s="5" t="s">
        <v>87</v>
      </c>
      <c r="C62" s="5" t="s">
        <v>17</v>
      </c>
      <c r="D62" s="28">
        <v>3.01</v>
      </c>
      <c r="E62" s="29">
        <v>2019.0</v>
      </c>
      <c r="F62" s="30">
        <v>1.0</v>
      </c>
      <c r="G62" s="31">
        <v>1.0</v>
      </c>
      <c r="H62" s="27">
        <v>1.0</v>
      </c>
      <c r="I62" s="6"/>
      <c r="J62" s="5">
        <v>1.0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21">
        <v>62.0</v>
      </c>
      <c r="B63" s="5" t="s">
        <v>88</v>
      </c>
      <c r="C63" s="5" t="s">
        <v>18</v>
      </c>
      <c r="D63" s="28">
        <v>3.02</v>
      </c>
      <c r="E63" s="29">
        <v>2019.0</v>
      </c>
      <c r="F63" s="24"/>
      <c r="G63" s="25"/>
      <c r="H63" s="26"/>
      <c r="I63" s="6"/>
      <c r="J63" s="6"/>
      <c r="K63" s="6"/>
      <c r="L63" s="5">
        <v>1.0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15">
        <v>63.0</v>
      </c>
      <c r="B64" s="5" t="s">
        <v>89</v>
      </c>
      <c r="C64" s="5" t="s">
        <v>13</v>
      </c>
      <c r="D64" s="28">
        <v>3.03</v>
      </c>
      <c r="E64" s="29">
        <v>2019.0</v>
      </c>
      <c r="F64" s="24"/>
      <c r="G64" s="25"/>
      <c r="H64" s="26"/>
      <c r="I64" s="6"/>
      <c r="J64" s="6"/>
      <c r="K64" s="6"/>
      <c r="L64" s="5">
        <v>1.0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21">
        <v>64.0</v>
      </c>
      <c r="B65" s="5" t="s">
        <v>90</v>
      </c>
      <c r="C65" s="5" t="s">
        <v>17</v>
      </c>
      <c r="D65" s="28">
        <v>3.04</v>
      </c>
      <c r="E65" s="29">
        <v>2019.0</v>
      </c>
      <c r="F65" s="24"/>
      <c r="G65" s="25"/>
      <c r="H65" s="26"/>
      <c r="I65" s="6"/>
      <c r="J65" s="6"/>
      <c r="K65" s="6"/>
      <c r="L65" s="5">
        <v>1.0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15">
        <v>65.0</v>
      </c>
      <c r="B66" s="5" t="s">
        <v>91</v>
      </c>
      <c r="C66" s="5" t="s">
        <v>13</v>
      </c>
      <c r="D66" s="28">
        <v>3.05</v>
      </c>
      <c r="E66" s="29">
        <v>2019.0</v>
      </c>
      <c r="F66" s="24"/>
      <c r="G66" s="25"/>
      <c r="H66" s="27">
        <v>2.0</v>
      </c>
      <c r="I66" s="6"/>
      <c r="J66" s="6"/>
      <c r="K66" s="5">
        <v>1.0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21">
        <v>66.0</v>
      </c>
      <c r="B67" s="5" t="s">
        <v>92</v>
      </c>
      <c r="C67" s="5" t="s">
        <v>17</v>
      </c>
      <c r="D67" s="28">
        <v>3.06</v>
      </c>
      <c r="E67" s="29">
        <v>2019.0</v>
      </c>
      <c r="F67" s="24"/>
      <c r="G67" s="25"/>
      <c r="H67" s="26"/>
      <c r="I67" s="6"/>
      <c r="J67" s="6"/>
      <c r="K67" s="6"/>
      <c r="L67" s="5">
        <v>1.0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15">
        <v>67.0</v>
      </c>
      <c r="B68" s="5" t="s">
        <v>93</v>
      </c>
      <c r="C68" s="5" t="s">
        <v>17</v>
      </c>
      <c r="D68" s="28">
        <v>3.07</v>
      </c>
      <c r="E68" s="29">
        <v>2019.0</v>
      </c>
      <c r="F68" s="24"/>
      <c r="G68" s="25"/>
      <c r="H68" s="26"/>
      <c r="I68" s="6"/>
      <c r="J68" s="6"/>
      <c r="K68" s="6"/>
      <c r="L68" s="5">
        <v>1.0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21">
        <v>68.0</v>
      </c>
      <c r="B69" s="5" t="s">
        <v>94</v>
      </c>
      <c r="C69" s="5" t="s">
        <v>13</v>
      </c>
      <c r="D69" s="28">
        <v>3.08</v>
      </c>
      <c r="E69" s="29">
        <v>2019.0</v>
      </c>
      <c r="F69" s="24"/>
      <c r="G69" s="25"/>
      <c r="H69" s="26"/>
      <c r="I69" s="6"/>
      <c r="J69" s="6"/>
      <c r="K69" s="6"/>
      <c r="L69" s="5">
        <v>1.0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15">
        <v>69.0</v>
      </c>
      <c r="B70" s="5" t="s">
        <v>95</v>
      </c>
      <c r="C70" s="5" t="s">
        <v>6</v>
      </c>
      <c r="D70" s="28">
        <v>3.09000000000001</v>
      </c>
      <c r="E70" s="29">
        <v>2019.0</v>
      </c>
      <c r="F70" s="24"/>
      <c r="G70" s="25"/>
      <c r="H70" s="26"/>
      <c r="I70" s="6"/>
      <c r="J70" s="6"/>
      <c r="K70" s="6"/>
      <c r="L70" s="5">
        <v>1.0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21">
        <v>70.0</v>
      </c>
      <c r="B71" s="5" t="s">
        <v>96</v>
      </c>
      <c r="C71" s="5" t="s">
        <v>13</v>
      </c>
      <c r="D71" s="28">
        <v>3.10000000000001</v>
      </c>
      <c r="E71" s="29">
        <v>2019.0</v>
      </c>
      <c r="F71" s="24"/>
      <c r="G71" s="25"/>
      <c r="H71" s="26"/>
      <c r="I71" s="6"/>
      <c r="J71" s="6"/>
      <c r="K71" s="6"/>
      <c r="L71" s="5">
        <v>1.0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15">
        <v>71.0</v>
      </c>
      <c r="B72" s="5" t="s">
        <v>97</v>
      </c>
      <c r="C72" s="5" t="s">
        <v>13</v>
      </c>
      <c r="D72" s="28">
        <v>3.11000000000001</v>
      </c>
      <c r="E72" s="29">
        <v>2019.0</v>
      </c>
      <c r="F72" s="24"/>
      <c r="G72" s="25"/>
      <c r="H72" s="26"/>
      <c r="I72" s="6"/>
      <c r="J72" s="6"/>
      <c r="K72" s="6"/>
      <c r="L72" s="5">
        <v>1.0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21">
        <v>72.0</v>
      </c>
      <c r="B73" s="5" t="s">
        <v>98</v>
      </c>
      <c r="C73" s="5" t="s">
        <v>17</v>
      </c>
      <c r="D73" s="28">
        <v>3.12000000000001</v>
      </c>
      <c r="E73" s="29">
        <v>2019.0</v>
      </c>
      <c r="F73" s="24"/>
      <c r="G73" s="25"/>
      <c r="H73" s="26"/>
      <c r="I73" s="6"/>
      <c r="J73" s="6"/>
      <c r="K73" s="6"/>
      <c r="L73" s="5">
        <v>1.0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15">
        <v>73.0</v>
      </c>
      <c r="B74" s="32" t="s">
        <v>99</v>
      </c>
      <c r="C74" s="5" t="s">
        <v>6</v>
      </c>
      <c r="D74" s="28">
        <v>1.01</v>
      </c>
      <c r="E74" s="29">
        <v>2020.0</v>
      </c>
      <c r="F74" s="30">
        <v>2.0</v>
      </c>
      <c r="G74" s="31">
        <v>1.0</v>
      </c>
      <c r="H74" s="26"/>
      <c r="I74" s="6"/>
      <c r="J74" s="5">
        <v>1.0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21">
        <v>74.0</v>
      </c>
      <c r="B75" s="32" t="s">
        <v>100</v>
      </c>
      <c r="C75" s="5" t="s">
        <v>13</v>
      </c>
      <c r="D75" s="28">
        <v>1.02</v>
      </c>
      <c r="E75" s="29">
        <v>2020.0</v>
      </c>
      <c r="F75" s="24"/>
      <c r="G75" s="31">
        <v>1.0</v>
      </c>
      <c r="H75" s="26"/>
      <c r="I75" s="6"/>
      <c r="J75" s="6"/>
      <c r="K75" s="6"/>
      <c r="L75" s="5">
        <v>1.0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15">
        <v>75.0</v>
      </c>
      <c r="B76" s="32" t="s">
        <v>101</v>
      </c>
      <c r="C76" s="5" t="s">
        <v>13</v>
      </c>
      <c r="D76" s="28">
        <v>1.03</v>
      </c>
      <c r="E76" s="29">
        <v>2020.0</v>
      </c>
      <c r="F76" s="30">
        <v>2.0</v>
      </c>
      <c r="G76" s="31">
        <v>1.0</v>
      </c>
      <c r="H76" s="27">
        <v>2.0</v>
      </c>
      <c r="I76" s="6"/>
      <c r="J76" s="5">
        <v>1.0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21">
        <v>76.0</v>
      </c>
      <c r="B77" s="32" t="s">
        <v>102</v>
      </c>
      <c r="C77" s="5" t="s">
        <v>6</v>
      </c>
      <c r="D77" s="28">
        <v>1.04</v>
      </c>
      <c r="E77" s="29">
        <v>2020.0</v>
      </c>
      <c r="F77" s="24"/>
      <c r="G77" s="31">
        <v>1.0</v>
      </c>
      <c r="H77" s="27">
        <v>1.0</v>
      </c>
      <c r="I77" s="6"/>
      <c r="J77" s="6"/>
      <c r="K77" s="5">
        <v>1.0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15">
        <v>77.0</v>
      </c>
      <c r="B78" s="32" t="s">
        <v>103</v>
      </c>
      <c r="C78" s="5" t="s">
        <v>13</v>
      </c>
      <c r="D78" s="28">
        <v>1.05</v>
      </c>
      <c r="E78" s="29">
        <v>2020.0</v>
      </c>
      <c r="F78" s="24"/>
      <c r="G78" s="31">
        <v>2.0</v>
      </c>
      <c r="H78" s="26"/>
      <c r="I78" s="6"/>
      <c r="J78" s="5">
        <v>1.0</v>
      </c>
      <c r="K78" s="6"/>
      <c r="L78" s="5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21">
        <v>78.0</v>
      </c>
      <c r="B79" s="32" t="s">
        <v>104</v>
      </c>
      <c r="C79" s="5" t="s">
        <v>13</v>
      </c>
      <c r="D79" s="28">
        <v>1.06</v>
      </c>
      <c r="E79" s="29">
        <v>2020.0</v>
      </c>
      <c r="F79" s="24"/>
      <c r="G79" s="31">
        <v>4.0</v>
      </c>
      <c r="H79" s="26"/>
      <c r="I79" s="6"/>
      <c r="J79" s="5">
        <v>1.0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15">
        <v>79.0</v>
      </c>
      <c r="B80" s="32" t="s">
        <v>105</v>
      </c>
      <c r="C80" s="5" t="s">
        <v>13</v>
      </c>
      <c r="D80" s="28">
        <v>1.07</v>
      </c>
      <c r="E80" s="29">
        <v>2020.0</v>
      </c>
      <c r="F80" s="24"/>
      <c r="G80" s="25"/>
      <c r="H80" s="27">
        <v>1.0</v>
      </c>
      <c r="I80" s="6"/>
      <c r="J80" s="6"/>
      <c r="K80" s="6"/>
      <c r="L80" s="5">
        <v>1.0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21">
        <v>80.0</v>
      </c>
      <c r="B81" s="32" t="s">
        <v>106</v>
      </c>
      <c r="C81" s="5" t="s">
        <v>17</v>
      </c>
      <c r="D81" s="28">
        <v>1.08</v>
      </c>
      <c r="E81" s="29">
        <v>2020.0</v>
      </c>
      <c r="F81" s="30">
        <v>1.0</v>
      </c>
      <c r="G81" s="31">
        <v>1.0</v>
      </c>
      <c r="H81" s="26"/>
      <c r="I81" s="6"/>
      <c r="J81" s="5">
        <v>1.0</v>
      </c>
      <c r="K81" s="6"/>
      <c r="L81" s="5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15">
        <v>81.0</v>
      </c>
      <c r="B82" s="32" t="s">
        <v>107</v>
      </c>
      <c r="C82" s="5" t="s">
        <v>17</v>
      </c>
      <c r="D82" s="28">
        <v>1.09</v>
      </c>
      <c r="E82" s="29">
        <v>2020.0</v>
      </c>
      <c r="F82" s="30">
        <v>3.0</v>
      </c>
      <c r="G82" s="31">
        <v>2.0</v>
      </c>
      <c r="H82" s="26"/>
      <c r="I82" s="6"/>
      <c r="J82" s="5">
        <v>1.0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21">
        <v>82.0</v>
      </c>
      <c r="B83" s="32" t="s">
        <v>108</v>
      </c>
      <c r="C83" s="5" t="s">
        <v>6</v>
      </c>
      <c r="D83" s="28">
        <v>1.1</v>
      </c>
      <c r="E83" s="29">
        <v>2020.0</v>
      </c>
      <c r="F83" s="30">
        <v>1.0</v>
      </c>
      <c r="G83" s="31">
        <v>3.0</v>
      </c>
      <c r="H83" s="27">
        <v>1.0</v>
      </c>
      <c r="I83" s="6"/>
      <c r="J83" s="5">
        <v>1.0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15">
        <v>83.0</v>
      </c>
      <c r="B84" s="5" t="s">
        <v>109</v>
      </c>
      <c r="C84" s="5" t="s">
        <v>17</v>
      </c>
      <c r="D84" s="28">
        <v>1.11</v>
      </c>
      <c r="E84" s="29">
        <v>2020.0</v>
      </c>
      <c r="F84" s="30">
        <v>4.0</v>
      </c>
      <c r="G84" s="25"/>
      <c r="H84" s="27">
        <v>1.0</v>
      </c>
      <c r="I84" s="6"/>
      <c r="J84" s="5">
        <v>1.0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21">
        <v>84.0</v>
      </c>
      <c r="B85" s="5" t="s">
        <v>110</v>
      </c>
      <c r="C85" s="5" t="s">
        <v>17</v>
      </c>
      <c r="D85" s="28">
        <v>1.12</v>
      </c>
      <c r="E85" s="29">
        <v>2020.0</v>
      </c>
      <c r="F85" s="24"/>
      <c r="G85" s="25"/>
      <c r="H85" s="26"/>
      <c r="I85" s="6"/>
      <c r="J85" s="6"/>
      <c r="K85" s="6"/>
      <c r="L85" s="5">
        <v>1.0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15">
        <v>85.0</v>
      </c>
      <c r="B86" s="5" t="s">
        <v>111</v>
      </c>
      <c r="C86" s="5" t="s">
        <v>17</v>
      </c>
      <c r="D86" s="28">
        <v>2.01</v>
      </c>
      <c r="E86" s="29">
        <v>2020.0</v>
      </c>
      <c r="F86" s="24"/>
      <c r="G86" s="25"/>
      <c r="H86" s="26"/>
      <c r="I86" s="6"/>
      <c r="J86" s="6"/>
      <c r="K86" s="6"/>
      <c r="L86" s="5">
        <v>1.0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21">
        <v>86.0</v>
      </c>
      <c r="B87" s="5" t="s">
        <v>112</v>
      </c>
      <c r="C87" s="5" t="s">
        <v>17</v>
      </c>
      <c r="D87" s="28">
        <v>2.02</v>
      </c>
      <c r="E87" s="29">
        <v>2020.0</v>
      </c>
      <c r="F87" s="24"/>
      <c r="G87" s="31">
        <v>3.0</v>
      </c>
      <c r="H87" s="26"/>
      <c r="I87" s="6"/>
      <c r="J87" s="5">
        <v>1.0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15">
        <v>87.0</v>
      </c>
      <c r="B88" s="5" t="s">
        <v>113</v>
      </c>
      <c r="C88" s="5" t="s">
        <v>17</v>
      </c>
      <c r="D88" s="28">
        <v>2.03</v>
      </c>
      <c r="E88" s="29">
        <v>2020.0</v>
      </c>
      <c r="F88" s="24"/>
      <c r="G88" s="31">
        <v>3.0</v>
      </c>
      <c r="H88" s="27">
        <v>1.0</v>
      </c>
      <c r="I88" s="6"/>
      <c r="J88" s="5">
        <v>1.0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21">
        <v>88.0</v>
      </c>
      <c r="B89" s="5" t="s">
        <v>114</v>
      </c>
      <c r="C89" s="5" t="s">
        <v>17</v>
      </c>
      <c r="D89" s="28">
        <v>2.04</v>
      </c>
      <c r="E89" s="29">
        <v>2020.0</v>
      </c>
      <c r="F89" s="24"/>
      <c r="G89" s="25"/>
      <c r="H89" s="26"/>
      <c r="I89" s="6"/>
      <c r="J89" s="6"/>
      <c r="K89" s="6"/>
      <c r="L89" s="5">
        <v>1.0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15">
        <v>89.0</v>
      </c>
      <c r="B90" s="5" t="s">
        <v>115</v>
      </c>
      <c r="C90" s="5" t="s">
        <v>13</v>
      </c>
      <c r="D90" s="28">
        <v>2.05</v>
      </c>
      <c r="E90" s="29">
        <v>2020.0</v>
      </c>
      <c r="F90" s="24"/>
      <c r="G90" s="25"/>
      <c r="H90" s="26"/>
      <c r="I90" s="6"/>
      <c r="J90" s="6"/>
      <c r="K90" s="6"/>
      <c r="L90" s="5">
        <v>1.0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21">
        <v>90.0</v>
      </c>
      <c r="B91" s="5" t="s">
        <v>116</v>
      </c>
      <c r="C91" s="5" t="s">
        <v>13</v>
      </c>
      <c r="D91" s="28">
        <v>2.06</v>
      </c>
      <c r="E91" s="29">
        <v>2020.0</v>
      </c>
      <c r="F91" s="24"/>
      <c r="G91" s="25"/>
      <c r="H91" s="27">
        <v>1.0</v>
      </c>
      <c r="I91" s="6"/>
      <c r="J91" s="6"/>
      <c r="K91" s="6"/>
      <c r="L91" s="5">
        <v>1.0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15">
        <v>91.0</v>
      </c>
      <c r="B92" s="5" t="s">
        <v>117</v>
      </c>
      <c r="C92" s="5" t="s">
        <v>17</v>
      </c>
      <c r="D92" s="28">
        <v>2.07</v>
      </c>
      <c r="E92" s="29">
        <v>2020.0</v>
      </c>
      <c r="F92" s="24"/>
      <c r="G92" s="25"/>
      <c r="H92" s="26"/>
      <c r="I92" s="6"/>
      <c r="J92" s="6"/>
      <c r="K92" s="6"/>
      <c r="L92" s="5">
        <v>1.0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21">
        <v>92.0</v>
      </c>
      <c r="B93" s="5" t="s">
        <v>118</v>
      </c>
      <c r="C93" s="5" t="s">
        <v>17</v>
      </c>
      <c r="D93" s="28">
        <v>2.08</v>
      </c>
      <c r="E93" s="29">
        <v>2020.0</v>
      </c>
      <c r="F93" s="30"/>
      <c r="G93" s="31">
        <v>2.0</v>
      </c>
      <c r="H93" s="27">
        <v>2.0</v>
      </c>
      <c r="I93" s="6"/>
      <c r="J93" s="5">
        <v>1.0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15">
        <v>93.0</v>
      </c>
      <c r="B94" s="5" t="s">
        <v>119</v>
      </c>
      <c r="C94" s="5" t="s">
        <v>6</v>
      </c>
      <c r="D94" s="28">
        <v>2.09000000000001</v>
      </c>
      <c r="E94" s="29">
        <v>2020.0</v>
      </c>
      <c r="F94" s="30">
        <v>2.0</v>
      </c>
      <c r="G94" s="31">
        <v>2.0</v>
      </c>
      <c r="H94" s="26"/>
      <c r="I94" s="6"/>
      <c r="J94" s="5">
        <v>1.0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21">
        <v>94.0</v>
      </c>
      <c r="B95" s="5" t="s">
        <v>120</v>
      </c>
      <c r="C95" s="5" t="s">
        <v>13</v>
      </c>
      <c r="D95" s="28">
        <v>2.10000000000001</v>
      </c>
      <c r="E95" s="29">
        <v>2020.0</v>
      </c>
      <c r="F95" s="30">
        <v>1.0</v>
      </c>
      <c r="G95" s="31">
        <v>1.0</v>
      </c>
      <c r="H95" s="26"/>
      <c r="I95" s="6"/>
      <c r="J95" s="5">
        <v>1.0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15">
        <v>95.0</v>
      </c>
      <c r="B96" s="5" t="s">
        <v>121</v>
      </c>
      <c r="C96" s="5" t="s">
        <v>13</v>
      </c>
      <c r="D96" s="28">
        <v>2.11000000000001</v>
      </c>
      <c r="E96" s="29">
        <v>2020.0</v>
      </c>
      <c r="F96" s="24"/>
      <c r="G96" s="31">
        <v>1.0</v>
      </c>
      <c r="H96" s="27">
        <v>1.0</v>
      </c>
      <c r="I96" s="6"/>
      <c r="J96" s="6"/>
      <c r="K96" s="5">
        <v>1.0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21">
        <v>96.0</v>
      </c>
      <c r="B97" s="5" t="s">
        <v>122</v>
      </c>
      <c r="C97" s="5" t="s">
        <v>17</v>
      </c>
      <c r="D97" s="28">
        <v>2.12000000000001</v>
      </c>
      <c r="E97" s="29">
        <v>2020.0</v>
      </c>
      <c r="F97" s="24"/>
      <c r="G97" s="31">
        <v>1.0</v>
      </c>
      <c r="H97" s="26"/>
      <c r="I97" s="6"/>
      <c r="J97" s="6"/>
      <c r="K97" s="6"/>
      <c r="L97" s="5">
        <v>1.0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15">
        <v>97.0</v>
      </c>
      <c r="B98" s="5" t="s">
        <v>123</v>
      </c>
      <c r="C98" s="5" t="s">
        <v>17</v>
      </c>
      <c r="D98" s="28">
        <v>3.01</v>
      </c>
      <c r="E98" s="29">
        <v>2020.0</v>
      </c>
      <c r="F98" s="24"/>
      <c r="G98" s="25"/>
      <c r="H98" s="26"/>
      <c r="I98" s="6"/>
      <c r="J98" s="6"/>
      <c r="K98" s="6"/>
      <c r="L98" s="5">
        <v>1.0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21">
        <v>98.0</v>
      </c>
      <c r="B99" s="5" t="s">
        <v>124</v>
      </c>
      <c r="C99" s="5" t="s">
        <v>18</v>
      </c>
      <c r="D99" s="28">
        <v>3.02</v>
      </c>
      <c r="E99" s="29">
        <v>2020.0</v>
      </c>
      <c r="F99" s="24"/>
      <c r="G99" s="25"/>
      <c r="H99" s="27">
        <v>2.0</v>
      </c>
      <c r="I99" s="6"/>
      <c r="J99" s="6"/>
      <c r="K99" s="5">
        <v>1.0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15">
        <v>99.0</v>
      </c>
      <c r="B100" s="5" t="s">
        <v>125</v>
      </c>
      <c r="C100" s="5" t="s">
        <v>17</v>
      </c>
      <c r="D100" s="28">
        <v>3.03</v>
      </c>
      <c r="E100" s="29">
        <v>2020.0</v>
      </c>
      <c r="F100" s="24"/>
      <c r="G100" s="25"/>
      <c r="H100" s="27">
        <v>1.0</v>
      </c>
      <c r="I100" s="6"/>
      <c r="J100" s="6"/>
      <c r="K100" s="6"/>
      <c r="L100" s="5">
        <v>1.0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21">
        <v>100.0</v>
      </c>
      <c r="B101" s="5" t="s">
        <v>126</v>
      </c>
      <c r="C101" s="5" t="s">
        <v>18</v>
      </c>
      <c r="D101" s="28">
        <v>3.04</v>
      </c>
      <c r="E101" s="29">
        <v>2020.0</v>
      </c>
      <c r="F101" s="24"/>
      <c r="G101" s="25"/>
      <c r="H101" s="26"/>
      <c r="I101" s="6"/>
      <c r="J101" s="6"/>
      <c r="K101" s="6"/>
      <c r="L101" s="5">
        <v>1.0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15">
        <v>101.0</v>
      </c>
      <c r="B102" s="5" t="s">
        <v>127</v>
      </c>
      <c r="C102" s="5" t="s">
        <v>17</v>
      </c>
      <c r="D102" s="28">
        <v>3.05</v>
      </c>
      <c r="E102" s="29">
        <v>2020.0</v>
      </c>
      <c r="F102" s="24"/>
      <c r="G102" s="25"/>
      <c r="H102" s="26"/>
      <c r="I102" s="6"/>
      <c r="J102" s="6"/>
      <c r="K102" s="6"/>
      <c r="L102" s="5">
        <v>1.0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21">
        <v>102.0</v>
      </c>
      <c r="B103" s="5" t="s">
        <v>128</v>
      </c>
      <c r="C103" s="5" t="s">
        <v>6</v>
      </c>
      <c r="D103" s="28">
        <v>3.06</v>
      </c>
      <c r="E103" s="29">
        <v>2020.0</v>
      </c>
      <c r="F103" s="30">
        <v>1.0</v>
      </c>
      <c r="G103" s="25"/>
      <c r="H103" s="27">
        <v>1.0</v>
      </c>
      <c r="I103" s="6"/>
      <c r="J103" s="5">
        <v>1.0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15">
        <v>103.0</v>
      </c>
      <c r="B104" s="5" t="s">
        <v>129</v>
      </c>
      <c r="C104" s="5" t="s">
        <v>17</v>
      </c>
      <c r="D104" s="28">
        <v>3.07</v>
      </c>
      <c r="E104" s="29">
        <v>2020.0</v>
      </c>
      <c r="F104" s="24"/>
      <c r="G104" s="25"/>
      <c r="H104" s="26"/>
      <c r="I104" s="6"/>
      <c r="J104" s="6"/>
      <c r="K104" s="6"/>
      <c r="L104" s="5">
        <v>1.0</v>
      </c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21">
        <v>104.0</v>
      </c>
      <c r="B105" s="5" t="s">
        <v>130</v>
      </c>
      <c r="C105" s="5" t="s">
        <v>17</v>
      </c>
      <c r="D105" s="28">
        <v>3.08</v>
      </c>
      <c r="E105" s="29">
        <v>2020.0</v>
      </c>
      <c r="F105" s="24"/>
      <c r="G105" s="25"/>
      <c r="H105" s="26"/>
      <c r="I105" s="6"/>
      <c r="J105" s="6"/>
      <c r="K105" s="6"/>
      <c r="L105" s="5">
        <v>1.0</v>
      </c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15">
        <v>105.0</v>
      </c>
      <c r="B106" s="5" t="s">
        <v>131</v>
      </c>
      <c r="C106" s="5" t="s">
        <v>13</v>
      </c>
      <c r="D106" s="28">
        <v>3.09000000000001</v>
      </c>
      <c r="E106" s="29">
        <v>2020.0</v>
      </c>
      <c r="F106" s="24"/>
      <c r="G106" s="25"/>
      <c r="H106" s="26"/>
      <c r="I106" s="6"/>
      <c r="J106" s="6"/>
      <c r="K106" s="6"/>
      <c r="L106" s="5">
        <v>1.0</v>
      </c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21">
        <v>106.0</v>
      </c>
      <c r="B107" s="5" t="s">
        <v>132</v>
      </c>
      <c r="C107" s="5" t="s">
        <v>17</v>
      </c>
      <c r="D107" s="28">
        <v>3.10000000000001</v>
      </c>
      <c r="E107" s="29">
        <v>2020.0</v>
      </c>
      <c r="F107" s="24"/>
      <c r="G107" s="25"/>
      <c r="H107" s="26"/>
      <c r="I107" s="6"/>
      <c r="J107" s="6"/>
      <c r="K107" s="6"/>
      <c r="L107" s="5">
        <v>1.0</v>
      </c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15">
        <v>107.0</v>
      </c>
      <c r="B108" s="5" t="s">
        <v>133</v>
      </c>
      <c r="C108" s="5" t="s">
        <v>13</v>
      </c>
      <c r="D108" s="28">
        <v>3.11000000000001</v>
      </c>
      <c r="E108" s="29">
        <v>2020.0</v>
      </c>
      <c r="F108" s="24"/>
      <c r="G108" s="25"/>
      <c r="H108" s="26"/>
      <c r="I108" s="6"/>
      <c r="J108" s="6"/>
      <c r="K108" s="6"/>
      <c r="L108" s="5">
        <v>1.0</v>
      </c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21">
        <v>108.0</v>
      </c>
      <c r="B109" s="5" t="s">
        <v>134</v>
      </c>
      <c r="C109" s="5" t="s">
        <v>18</v>
      </c>
      <c r="D109" s="28">
        <v>3.12000000000001</v>
      </c>
      <c r="E109" s="29">
        <v>2020.0</v>
      </c>
      <c r="F109" s="24"/>
      <c r="G109" s="25"/>
      <c r="H109" s="26"/>
      <c r="I109" s="6"/>
      <c r="J109" s="6"/>
      <c r="K109" s="6"/>
      <c r="L109" s="5">
        <v>1.0</v>
      </c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15">
        <v>109.0</v>
      </c>
      <c r="B110" s="32" t="s">
        <v>135</v>
      </c>
      <c r="C110" s="5" t="s">
        <v>6</v>
      </c>
      <c r="D110" s="28">
        <v>1.01</v>
      </c>
      <c r="E110" s="29">
        <v>2021.0</v>
      </c>
      <c r="F110" s="24"/>
      <c r="G110" s="31">
        <v>1.0</v>
      </c>
      <c r="H110" s="27">
        <v>1.0</v>
      </c>
      <c r="I110" s="6"/>
      <c r="J110" s="6"/>
      <c r="K110" s="5">
        <v>1.0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21">
        <v>110.0</v>
      </c>
      <c r="B111" s="32" t="s">
        <v>136</v>
      </c>
      <c r="C111" s="5" t="s">
        <v>6</v>
      </c>
      <c r="D111" s="28">
        <v>1.02</v>
      </c>
      <c r="E111" s="29">
        <v>2021.0</v>
      </c>
      <c r="F111" s="30">
        <v>1.0</v>
      </c>
      <c r="G111" s="25"/>
      <c r="H111" s="27">
        <v>1.0</v>
      </c>
      <c r="I111" s="6"/>
      <c r="J111" s="5">
        <v>1.0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15">
        <v>111.0</v>
      </c>
      <c r="B112" s="32" t="s">
        <v>137</v>
      </c>
      <c r="C112" s="5" t="s">
        <v>13</v>
      </c>
      <c r="D112" s="28">
        <v>1.03</v>
      </c>
      <c r="E112" s="29">
        <v>2021.0</v>
      </c>
      <c r="F112" s="30">
        <v>1.0</v>
      </c>
      <c r="G112" s="31">
        <v>3.0</v>
      </c>
      <c r="H112" s="26"/>
      <c r="I112" s="6"/>
      <c r="J112" s="5">
        <v>1.0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21">
        <v>112.0</v>
      </c>
      <c r="B113" s="32" t="s">
        <v>138</v>
      </c>
      <c r="C113" s="5" t="s">
        <v>17</v>
      </c>
      <c r="D113" s="28">
        <v>1.04</v>
      </c>
      <c r="E113" s="29">
        <v>2021.0</v>
      </c>
      <c r="F113" s="30">
        <v>4.0</v>
      </c>
      <c r="G113" s="25"/>
      <c r="H113" s="26"/>
      <c r="I113" s="6"/>
      <c r="J113" s="5">
        <v>1.0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15">
        <v>113.0</v>
      </c>
      <c r="B114" s="32" t="s">
        <v>139</v>
      </c>
      <c r="C114" s="5" t="s">
        <v>6</v>
      </c>
      <c r="D114" s="28">
        <v>1.05</v>
      </c>
      <c r="E114" s="29">
        <v>2021.0</v>
      </c>
      <c r="F114" s="24"/>
      <c r="G114" s="25"/>
      <c r="H114" s="26"/>
      <c r="I114" s="6"/>
      <c r="J114" s="6"/>
      <c r="K114" s="6"/>
      <c r="L114" s="5">
        <v>1.0</v>
      </c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21">
        <v>114.0</v>
      </c>
      <c r="B115" s="32" t="s">
        <v>140</v>
      </c>
      <c r="C115" s="5" t="s">
        <v>6</v>
      </c>
      <c r="D115" s="28">
        <v>1.06</v>
      </c>
      <c r="E115" s="29">
        <v>2021.0</v>
      </c>
      <c r="F115" s="24"/>
      <c r="G115" s="25"/>
      <c r="H115" s="26"/>
      <c r="I115" s="6"/>
      <c r="J115" s="6"/>
      <c r="K115" s="6"/>
      <c r="L115" s="5">
        <v>1.0</v>
      </c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15">
        <v>115.0</v>
      </c>
      <c r="B116" s="32" t="s">
        <v>141</v>
      </c>
      <c r="C116" s="5" t="s">
        <v>18</v>
      </c>
      <c r="D116" s="28">
        <v>1.07</v>
      </c>
      <c r="E116" s="29">
        <v>2021.0</v>
      </c>
      <c r="F116" s="30"/>
      <c r="G116" s="31">
        <v>1.0</v>
      </c>
      <c r="H116" s="26"/>
      <c r="I116" s="6"/>
      <c r="J116" s="6"/>
      <c r="K116" s="6"/>
      <c r="L116" s="5">
        <v>1.0</v>
      </c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21">
        <v>116.0</v>
      </c>
      <c r="B117" s="32" t="s">
        <v>142</v>
      </c>
      <c r="C117" s="5" t="s">
        <v>17</v>
      </c>
      <c r="D117" s="28">
        <v>1.08</v>
      </c>
      <c r="E117" s="29">
        <v>2021.0</v>
      </c>
      <c r="F117" s="30">
        <v>1.0</v>
      </c>
      <c r="G117" s="31">
        <v>1.0</v>
      </c>
      <c r="H117" s="27">
        <v>2.0</v>
      </c>
      <c r="I117" s="6"/>
      <c r="J117" s="5">
        <v>1.0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15">
        <v>117.0</v>
      </c>
      <c r="B118" s="32" t="s">
        <v>143</v>
      </c>
      <c r="C118" s="5" t="s">
        <v>13</v>
      </c>
      <c r="D118" s="28">
        <v>1.09</v>
      </c>
      <c r="E118" s="29">
        <v>2021.0</v>
      </c>
      <c r="F118" s="30">
        <v>1.0</v>
      </c>
      <c r="G118" s="31">
        <v>1.0</v>
      </c>
      <c r="H118" s="27">
        <v>1.0</v>
      </c>
      <c r="I118" s="6"/>
      <c r="J118" s="5">
        <v>1.0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21">
        <v>118.0</v>
      </c>
      <c r="B119" s="32" t="s">
        <v>144</v>
      </c>
      <c r="C119" s="5" t="s">
        <v>17</v>
      </c>
      <c r="D119" s="28">
        <v>1.1</v>
      </c>
      <c r="E119" s="29">
        <v>2021.0</v>
      </c>
      <c r="F119" s="30">
        <v>1.0</v>
      </c>
      <c r="G119" s="31">
        <v>1.0</v>
      </c>
      <c r="H119" s="27">
        <v>1.0</v>
      </c>
      <c r="I119" s="6"/>
      <c r="J119" s="5">
        <v>1.0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15">
        <v>119.0</v>
      </c>
      <c r="B120" s="32" t="s">
        <v>145</v>
      </c>
      <c r="C120" s="5" t="s">
        <v>13</v>
      </c>
      <c r="D120" s="28">
        <v>1.11</v>
      </c>
      <c r="E120" s="29">
        <v>2021.0</v>
      </c>
      <c r="F120" s="24"/>
      <c r="G120" s="31">
        <v>1.0</v>
      </c>
      <c r="H120" s="27">
        <v>2.0</v>
      </c>
      <c r="I120" s="6"/>
      <c r="J120" s="6"/>
      <c r="K120" s="5">
        <v>1.0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21">
        <v>120.0</v>
      </c>
      <c r="B121" s="32" t="s">
        <v>146</v>
      </c>
      <c r="C121" s="5" t="s">
        <v>13</v>
      </c>
      <c r="D121" s="28">
        <v>1.12</v>
      </c>
      <c r="E121" s="29">
        <v>2021.0</v>
      </c>
      <c r="F121" s="24"/>
      <c r="G121" s="25"/>
      <c r="H121" s="26"/>
      <c r="I121" s="6"/>
      <c r="J121" s="6"/>
      <c r="K121" s="6"/>
      <c r="L121" s="5">
        <v>1.0</v>
      </c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15">
        <v>121.0</v>
      </c>
      <c r="B122" s="32" t="s">
        <v>147</v>
      </c>
      <c r="C122" s="5" t="s">
        <v>17</v>
      </c>
      <c r="D122" s="28">
        <v>2.01</v>
      </c>
      <c r="E122" s="29">
        <v>2021.0</v>
      </c>
      <c r="F122" s="24"/>
      <c r="G122" s="25"/>
      <c r="H122" s="26"/>
      <c r="I122" s="6"/>
      <c r="J122" s="6"/>
      <c r="K122" s="6"/>
      <c r="L122" s="5">
        <v>1.0</v>
      </c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21">
        <v>122.0</v>
      </c>
      <c r="B123" s="32" t="s">
        <v>148</v>
      </c>
      <c r="C123" s="5" t="s">
        <v>17</v>
      </c>
      <c r="D123" s="28">
        <v>2.02</v>
      </c>
      <c r="E123" s="29">
        <v>2021.0</v>
      </c>
      <c r="F123" s="24"/>
      <c r="G123" s="25"/>
      <c r="H123" s="26"/>
      <c r="I123" s="6"/>
      <c r="J123" s="6"/>
      <c r="K123" s="6"/>
      <c r="L123" s="5">
        <v>1.0</v>
      </c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15">
        <v>123.0</v>
      </c>
      <c r="B124" s="32" t="s">
        <v>149</v>
      </c>
      <c r="C124" s="5" t="s">
        <v>6</v>
      </c>
      <c r="D124" s="28">
        <v>2.03</v>
      </c>
      <c r="E124" s="29">
        <v>2021.0</v>
      </c>
      <c r="F124" s="24"/>
      <c r="G124" s="25"/>
      <c r="H124" s="27">
        <v>1.0</v>
      </c>
      <c r="I124" s="6"/>
      <c r="J124" s="6"/>
      <c r="K124" s="6"/>
      <c r="L124" s="5">
        <v>1.0</v>
      </c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21">
        <v>124.0</v>
      </c>
      <c r="B125" s="32" t="s">
        <v>150</v>
      </c>
      <c r="C125" s="5" t="s">
        <v>17</v>
      </c>
      <c r="D125" s="28">
        <v>2.04</v>
      </c>
      <c r="E125" s="29">
        <v>2021.0</v>
      </c>
      <c r="F125" s="24"/>
      <c r="G125" s="25"/>
      <c r="H125" s="26"/>
      <c r="I125" s="6"/>
      <c r="J125" s="6"/>
      <c r="K125" s="6"/>
      <c r="L125" s="5">
        <v>1.0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15">
        <v>125.0</v>
      </c>
      <c r="B126" s="32" t="s">
        <v>151</v>
      </c>
      <c r="C126" s="5" t="s">
        <v>17</v>
      </c>
      <c r="D126" s="28">
        <v>2.05</v>
      </c>
      <c r="E126" s="29">
        <v>2021.0</v>
      </c>
      <c r="F126" s="24"/>
      <c r="G126" s="25"/>
      <c r="H126" s="26"/>
      <c r="I126" s="6"/>
      <c r="J126" s="6"/>
      <c r="K126" s="6"/>
      <c r="L126" s="5">
        <v>1.0</v>
      </c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21">
        <v>126.0</v>
      </c>
      <c r="B127" s="32" t="s">
        <v>152</v>
      </c>
      <c r="C127" s="5" t="s">
        <v>18</v>
      </c>
      <c r="D127" s="28">
        <v>2.06</v>
      </c>
      <c r="E127" s="29">
        <v>2021.0</v>
      </c>
      <c r="F127" s="24"/>
      <c r="G127" s="25"/>
      <c r="H127" s="27">
        <v>2.0</v>
      </c>
      <c r="I127" s="6"/>
      <c r="J127" s="6"/>
      <c r="K127" s="5">
        <v>1.0</v>
      </c>
      <c r="L127" s="5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15">
        <v>127.0</v>
      </c>
      <c r="B128" s="32" t="s">
        <v>153</v>
      </c>
      <c r="C128" s="5" t="s">
        <v>13</v>
      </c>
      <c r="D128" s="28">
        <v>2.07</v>
      </c>
      <c r="E128" s="29">
        <v>2021.0</v>
      </c>
      <c r="F128" s="24"/>
      <c r="G128" s="25"/>
      <c r="H128" s="27">
        <v>1.0</v>
      </c>
      <c r="I128" s="6"/>
      <c r="J128" s="6"/>
      <c r="K128" s="6"/>
      <c r="L128" s="5">
        <v>1.0</v>
      </c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21">
        <v>128.0</v>
      </c>
      <c r="B129" s="32" t="s">
        <v>154</v>
      </c>
      <c r="C129" s="5" t="s">
        <v>17</v>
      </c>
      <c r="D129" s="28">
        <v>2.08</v>
      </c>
      <c r="E129" s="29">
        <v>2021.0</v>
      </c>
      <c r="F129" s="24"/>
      <c r="G129" s="25"/>
      <c r="H129" s="26"/>
      <c r="I129" s="6"/>
      <c r="J129" s="6"/>
      <c r="K129" s="6"/>
      <c r="L129" s="5">
        <v>1.0</v>
      </c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15">
        <v>129.0</v>
      </c>
      <c r="B130" s="32" t="s">
        <v>155</v>
      </c>
      <c r="C130" s="5" t="s">
        <v>13</v>
      </c>
      <c r="D130" s="28">
        <v>2.09000000000001</v>
      </c>
      <c r="E130" s="29">
        <v>2021.0</v>
      </c>
      <c r="F130" s="24"/>
      <c r="G130" s="31">
        <v>1.0</v>
      </c>
      <c r="H130" s="27">
        <v>2.0</v>
      </c>
      <c r="I130" s="6"/>
      <c r="J130" s="6"/>
      <c r="K130" s="5">
        <v>1.0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21">
        <v>130.0</v>
      </c>
      <c r="B131" s="32" t="s">
        <v>156</v>
      </c>
      <c r="C131" s="5" t="s">
        <v>13</v>
      </c>
      <c r="D131" s="28">
        <v>2.10000000000001</v>
      </c>
      <c r="E131" s="29">
        <v>2021.0</v>
      </c>
      <c r="F131" s="30">
        <v>1.0</v>
      </c>
      <c r="G131" s="25"/>
      <c r="H131" s="27">
        <v>2.0</v>
      </c>
      <c r="I131" s="6"/>
      <c r="J131" s="5">
        <v>1.0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15">
        <v>131.0</v>
      </c>
      <c r="B132" s="32" t="s">
        <v>157</v>
      </c>
      <c r="C132" s="5" t="s">
        <v>17</v>
      </c>
      <c r="D132" s="28">
        <v>2.11000000000001</v>
      </c>
      <c r="E132" s="29">
        <v>2021.0</v>
      </c>
      <c r="F132" s="24"/>
      <c r="G132" s="25"/>
      <c r="H132" s="26"/>
      <c r="I132" s="6"/>
      <c r="J132" s="6"/>
      <c r="K132" s="6"/>
      <c r="L132" s="5">
        <v>1.0</v>
      </c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21">
        <v>132.0</v>
      </c>
      <c r="B133" s="32" t="s">
        <v>158</v>
      </c>
      <c r="C133" s="5" t="s">
        <v>17</v>
      </c>
      <c r="D133" s="28">
        <v>2.12000000000001</v>
      </c>
      <c r="E133" s="29">
        <v>2021.0</v>
      </c>
      <c r="F133" s="30">
        <v>3.0</v>
      </c>
      <c r="G133" s="31">
        <v>1.0</v>
      </c>
      <c r="H133" s="26"/>
      <c r="I133" s="6"/>
      <c r="J133" s="5">
        <v>1.0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15">
        <v>133.0</v>
      </c>
      <c r="B134" s="32" t="s">
        <v>159</v>
      </c>
      <c r="C134" s="5" t="s">
        <v>17</v>
      </c>
      <c r="D134" s="28">
        <v>3.01</v>
      </c>
      <c r="E134" s="29">
        <v>2021.0</v>
      </c>
      <c r="F134" s="24"/>
      <c r="G134" s="25"/>
      <c r="H134" s="26"/>
      <c r="I134" s="6"/>
      <c r="J134" s="6"/>
      <c r="K134" s="6"/>
      <c r="L134" s="5">
        <v>1.0</v>
      </c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21">
        <v>134.0</v>
      </c>
      <c r="B135" s="32" t="s">
        <v>160</v>
      </c>
      <c r="C135" s="5" t="s">
        <v>17</v>
      </c>
      <c r="D135" s="28">
        <v>3.02</v>
      </c>
      <c r="E135" s="29">
        <v>2021.0</v>
      </c>
      <c r="F135" s="24"/>
      <c r="G135" s="25"/>
      <c r="H135" s="26"/>
      <c r="I135" s="6"/>
      <c r="J135" s="6"/>
      <c r="K135" s="6"/>
      <c r="L135" s="5">
        <v>1.0</v>
      </c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15">
        <v>135.0</v>
      </c>
      <c r="B136" s="32" t="s">
        <v>161</v>
      </c>
      <c r="C136" s="5" t="s">
        <v>17</v>
      </c>
      <c r="D136" s="28">
        <v>3.03</v>
      </c>
      <c r="E136" s="29">
        <v>2021.0</v>
      </c>
      <c r="F136" s="24"/>
      <c r="G136" s="25"/>
      <c r="H136" s="26"/>
      <c r="I136" s="6"/>
      <c r="J136" s="6"/>
      <c r="K136" s="6"/>
      <c r="L136" s="5">
        <v>1.0</v>
      </c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21">
        <v>136.0</v>
      </c>
      <c r="B137" s="32" t="s">
        <v>162</v>
      </c>
      <c r="C137" s="5" t="s">
        <v>13</v>
      </c>
      <c r="D137" s="28">
        <v>3.04</v>
      </c>
      <c r="E137" s="29">
        <v>2021.0</v>
      </c>
      <c r="F137" s="24"/>
      <c r="G137" s="25"/>
      <c r="H137" s="26"/>
      <c r="I137" s="6"/>
      <c r="J137" s="6"/>
      <c r="K137" s="6"/>
      <c r="L137" s="5">
        <v>1.0</v>
      </c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15">
        <v>137.0</v>
      </c>
      <c r="B138" s="32" t="s">
        <v>163</v>
      </c>
      <c r="C138" s="5" t="s">
        <v>17</v>
      </c>
      <c r="D138" s="28">
        <v>3.05</v>
      </c>
      <c r="E138" s="29">
        <v>2021.0</v>
      </c>
      <c r="F138" s="30">
        <v>1.0</v>
      </c>
      <c r="G138" s="31">
        <v>1.0</v>
      </c>
      <c r="H138" s="26"/>
      <c r="I138" s="6"/>
      <c r="J138" s="5">
        <v>1.0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21">
        <v>138.0</v>
      </c>
      <c r="B139" s="32" t="s">
        <v>164</v>
      </c>
      <c r="C139" s="5" t="s">
        <v>13</v>
      </c>
      <c r="D139" s="28">
        <v>3.06</v>
      </c>
      <c r="E139" s="29">
        <v>2021.0</v>
      </c>
      <c r="F139" s="24"/>
      <c r="G139" s="25"/>
      <c r="H139" s="26"/>
      <c r="I139" s="6"/>
      <c r="J139" s="6"/>
      <c r="K139" s="6"/>
      <c r="L139" s="5">
        <v>1.0</v>
      </c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15">
        <v>139.0</v>
      </c>
      <c r="B140" s="32" t="s">
        <v>165</v>
      </c>
      <c r="C140" s="5" t="s">
        <v>17</v>
      </c>
      <c r="D140" s="28">
        <v>3.07</v>
      </c>
      <c r="E140" s="29">
        <v>2021.0</v>
      </c>
      <c r="F140" s="24"/>
      <c r="G140" s="25"/>
      <c r="H140" s="26"/>
      <c r="I140" s="6"/>
      <c r="J140" s="6"/>
      <c r="K140" s="6"/>
      <c r="L140" s="5">
        <v>1.0</v>
      </c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21">
        <v>140.0</v>
      </c>
      <c r="B141" s="32" t="s">
        <v>166</v>
      </c>
      <c r="C141" s="5" t="s">
        <v>17</v>
      </c>
      <c r="D141" s="28">
        <v>3.08</v>
      </c>
      <c r="E141" s="29">
        <v>2021.0</v>
      </c>
      <c r="F141" s="24"/>
      <c r="G141" s="25"/>
      <c r="H141" s="26"/>
      <c r="I141" s="6"/>
      <c r="J141" s="6"/>
      <c r="K141" s="6"/>
      <c r="L141" s="5">
        <v>1.0</v>
      </c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15">
        <v>141.0</v>
      </c>
      <c r="B142" s="32" t="s">
        <v>167</v>
      </c>
      <c r="C142" s="5" t="s">
        <v>17</v>
      </c>
      <c r="D142" s="28">
        <v>3.09000000000001</v>
      </c>
      <c r="E142" s="29">
        <v>2021.0</v>
      </c>
      <c r="F142" s="24"/>
      <c r="G142" s="25"/>
      <c r="H142" s="26"/>
      <c r="I142" s="6"/>
      <c r="J142" s="6"/>
      <c r="K142" s="6"/>
      <c r="L142" s="5">
        <v>1.0</v>
      </c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21">
        <v>142.0</v>
      </c>
      <c r="B143" s="32" t="s">
        <v>168</v>
      </c>
      <c r="C143" s="5" t="s">
        <v>13</v>
      </c>
      <c r="D143" s="28">
        <v>3.10000000000001</v>
      </c>
      <c r="E143" s="29">
        <v>2021.0</v>
      </c>
      <c r="F143" s="24"/>
      <c r="G143" s="25"/>
      <c r="H143" s="27">
        <v>1.0</v>
      </c>
      <c r="I143" s="6"/>
      <c r="J143" s="6"/>
      <c r="K143" s="6"/>
      <c r="L143" s="5">
        <v>1.0</v>
      </c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15">
        <v>143.0</v>
      </c>
      <c r="B144" s="32" t="s">
        <v>169</v>
      </c>
      <c r="C144" s="5" t="s">
        <v>13</v>
      </c>
      <c r="D144" s="28">
        <v>3.11000000000001</v>
      </c>
      <c r="E144" s="29">
        <v>2021.0</v>
      </c>
      <c r="F144" s="24"/>
      <c r="G144" s="25"/>
      <c r="H144" s="26"/>
      <c r="I144" s="6"/>
      <c r="J144" s="6"/>
      <c r="K144" s="6"/>
      <c r="L144" s="5">
        <v>1.0</v>
      </c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21">
        <v>144.0</v>
      </c>
      <c r="B145" s="32" t="s">
        <v>170</v>
      </c>
      <c r="C145" s="5" t="s">
        <v>18</v>
      </c>
      <c r="D145" s="28">
        <v>3.12000000000001</v>
      </c>
      <c r="E145" s="29">
        <v>2021.0</v>
      </c>
      <c r="F145" s="24"/>
      <c r="G145" s="25"/>
      <c r="H145" s="26"/>
      <c r="I145" s="6"/>
      <c r="J145" s="6"/>
      <c r="K145" s="6"/>
      <c r="L145" s="5">
        <v>1.0</v>
      </c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15">
        <v>145.0</v>
      </c>
      <c r="B146" s="32" t="s">
        <v>171</v>
      </c>
      <c r="C146" s="5" t="s">
        <v>13</v>
      </c>
      <c r="D146" s="28">
        <v>1.01</v>
      </c>
      <c r="E146" s="29">
        <v>2022.0</v>
      </c>
      <c r="F146" s="30">
        <v>1.0</v>
      </c>
      <c r="G146" s="31">
        <v>1.0</v>
      </c>
      <c r="H146" s="26"/>
      <c r="I146" s="6"/>
      <c r="J146" s="5">
        <v>1.0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21">
        <v>146.0</v>
      </c>
      <c r="B147" s="32" t="s">
        <v>172</v>
      </c>
      <c r="C147" s="5" t="s">
        <v>17</v>
      </c>
      <c r="D147" s="28">
        <v>1.02</v>
      </c>
      <c r="E147" s="29">
        <v>2022.0</v>
      </c>
      <c r="F147" s="30">
        <v>1.0</v>
      </c>
      <c r="G147" s="25"/>
      <c r="H147" s="27">
        <v>1.0</v>
      </c>
      <c r="I147" s="6"/>
      <c r="J147" s="5">
        <v>1.0</v>
      </c>
      <c r="K147" s="6"/>
      <c r="L147" s="5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15">
        <v>147.0</v>
      </c>
      <c r="B148" s="32" t="s">
        <v>173</v>
      </c>
      <c r="C148" s="5" t="s">
        <v>13</v>
      </c>
      <c r="D148" s="28">
        <v>1.03</v>
      </c>
      <c r="E148" s="29">
        <v>2022.0</v>
      </c>
      <c r="F148" s="24"/>
      <c r="G148" s="31">
        <v>2.0</v>
      </c>
      <c r="H148" s="27">
        <v>1.0</v>
      </c>
      <c r="I148" s="6"/>
      <c r="J148" s="5">
        <v>1.0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21">
        <v>148.0</v>
      </c>
      <c r="B149" s="32" t="s">
        <v>174</v>
      </c>
      <c r="C149" s="5" t="s">
        <v>17</v>
      </c>
      <c r="D149" s="28">
        <v>1.04</v>
      </c>
      <c r="E149" s="29">
        <v>2022.0</v>
      </c>
      <c r="F149" s="30">
        <v>1.0</v>
      </c>
      <c r="G149" s="31">
        <v>1.0</v>
      </c>
      <c r="H149" s="27">
        <v>1.0</v>
      </c>
      <c r="I149" s="6"/>
      <c r="J149" s="5">
        <v>1.0</v>
      </c>
      <c r="K149" s="5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15">
        <v>149.0</v>
      </c>
      <c r="B150" s="32" t="s">
        <v>175</v>
      </c>
      <c r="C150" s="5" t="s">
        <v>17</v>
      </c>
      <c r="D150" s="28">
        <v>1.05</v>
      </c>
      <c r="E150" s="29">
        <v>2022.0</v>
      </c>
      <c r="F150" s="24"/>
      <c r="G150" s="25"/>
      <c r="H150" s="26"/>
      <c r="I150" s="6"/>
      <c r="J150" s="6"/>
      <c r="K150" s="6"/>
      <c r="L150" s="5">
        <v>1.0</v>
      </c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21">
        <v>150.0</v>
      </c>
      <c r="B151" s="32" t="s">
        <v>176</v>
      </c>
      <c r="C151" s="5" t="s">
        <v>17</v>
      </c>
      <c r="D151" s="28">
        <v>1.06</v>
      </c>
      <c r="E151" s="29">
        <v>2022.0</v>
      </c>
      <c r="F151" s="24"/>
      <c r="G151" s="31">
        <v>1.0</v>
      </c>
      <c r="H151" s="27">
        <v>1.0</v>
      </c>
      <c r="I151" s="6"/>
      <c r="J151" s="6"/>
      <c r="K151" s="5">
        <v>1.0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15">
        <v>151.0</v>
      </c>
      <c r="B152" s="32" t="s">
        <v>177</v>
      </c>
      <c r="C152" s="5" t="s">
        <v>17</v>
      </c>
      <c r="D152" s="28">
        <v>1.07</v>
      </c>
      <c r="E152" s="29">
        <v>2022.0</v>
      </c>
      <c r="F152" s="24"/>
      <c r="G152" s="25"/>
      <c r="H152" s="27">
        <v>1.0</v>
      </c>
      <c r="I152" s="6"/>
      <c r="J152" s="6"/>
      <c r="K152" s="6"/>
      <c r="L152" s="5">
        <v>1.0</v>
      </c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21">
        <v>152.0</v>
      </c>
      <c r="B153" s="32" t="s">
        <v>178</v>
      </c>
      <c r="C153" s="5" t="s">
        <v>6</v>
      </c>
      <c r="D153" s="28">
        <v>1.08</v>
      </c>
      <c r="E153" s="29">
        <v>2022.0</v>
      </c>
      <c r="F153" s="24"/>
      <c r="G153" s="25"/>
      <c r="H153" s="26"/>
      <c r="I153" s="6"/>
      <c r="J153" s="6"/>
      <c r="K153" s="6"/>
      <c r="L153" s="5">
        <v>1.0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15">
        <v>153.0</v>
      </c>
      <c r="B154" s="32" t="s">
        <v>179</v>
      </c>
      <c r="C154" s="5" t="s">
        <v>17</v>
      </c>
      <c r="D154" s="28">
        <v>1.09</v>
      </c>
      <c r="E154" s="29">
        <v>2022.0</v>
      </c>
      <c r="F154" s="24"/>
      <c r="G154" s="31">
        <v>1.0</v>
      </c>
      <c r="H154" s="26"/>
      <c r="I154" s="6"/>
      <c r="J154" s="6"/>
      <c r="K154" s="6"/>
      <c r="L154" s="5">
        <v>1.0</v>
      </c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21">
        <v>154.0</v>
      </c>
      <c r="B155" s="32" t="s">
        <v>180</v>
      </c>
      <c r="C155" s="5" t="s">
        <v>17</v>
      </c>
      <c r="D155" s="28">
        <v>1.1</v>
      </c>
      <c r="E155" s="29">
        <v>2022.0</v>
      </c>
      <c r="F155" s="24"/>
      <c r="G155" s="25"/>
      <c r="H155" s="26"/>
      <c r="I155" s="6"/>
      <c r="J155" s="6"/>
      <c r="K155" s="6"/>
      <c r="L155" s="5">
        <v>1.0</v>
      </c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15">
        <v>155.0</v>
      </c>
      <c r="B156" s="32" t="s">
        <v>181</v>
      </c>
      <c r="C156" s="5" t="s">
        <v>13</v>
      </c>
      <c r="D156" s="28">
        <v>1.11</v>
      </c>
      <c r="E156" s="29">
        <v>2022.0</v>
      </c>
      <c r="F156" s="30">
        <v>2.0</v>
      </c>
      <c r="G156" s="25"/>
      <c r="H156" s="26"/>
      <c r="I156" s="6"/>
      <c r="J156" s="5">
        <v>1.0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21">
        <v>156.0</v>
      </c>
      <c r="B157" s="32" t="s">
        <v>182</v>
      </c>
      <c r="C157" s="5" t="s">
        <v>17</v>
      </c>
      <c r="D157" s="28">
        <v>1.12</v>
      </c>
      <c r="E157" s="29">
        <v>2022.0</v>
      </c>
      <c r="F157" s="24"/>
      <c r="G157" s="25"/>
      <c r="H157" s="26"/>
      <c r="I157" s="6"/>
      <c r="J157" s="6"/>
      <c r="K157" s="6"/>
      <c r="L157" s="5">
        <v>1.0</v>
      </c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15">
        <v>157.0</v>
      </c>
      <c r="B158" s="32" t="s">
        <v>183</v>
      </c>
      <c r="C158" s="5" t="s">
        <v>17</v>
      </c>
      <c r="D158" s="28">
        <v>2.01</v>
      </c>
      <c r="E158" s="29">
        <v>2022.0</v>
      </c>
      <c r="F158" s="24"/>
      <c r="G158" s="25"/>
      <c r="H158" s="26"/>
      <c r="I158" s="6"/>
      <c r="J158" s="6"/>
      <c r="K158" s="6"/>
      <c r="L158" s="5">
        <v>1.0</v>
      </c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21">
        <v>158.0</v>
      </c>
      <c r="B159" s="32" t="s">
        <v>184</v>
      </c>
      <c r="C159" s="5" t="s">
        <v>13</v>
      </c>
      <c r="D159" s="28">
        <v>2.02</v>
      </c>
      <c r="E159" s="29">
        <v>2022.0</v>
      </c>
      <c r="F159" s="24"/>
      <c r="G159" s="25"/>
      <c r="H159" s="27">
        <v>1.0</v>
      </c>
      <c r="I159" s="6"/>
      <c r="J159" s="6"/>
      <c r="K159" s="6"/>
      <c r="L159" s="5">
        <v>1.0</v>
      </c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15">
        <v>159.0</v>
      </c>
      <c r="B160" s="32" t="s">
        <v>185</v>
      </c>
      <c r="C160" s="5" t="s">
        <v>13</v>
      </c>
      <c r="D160" s="28">
        <v>2.03</v>
      </c>
      <c r="E160" s="29">
        <v>2022.0</v>
      </c>
      <c r="F160" s="30">
        <v>1.0</v>
      </c>
      <c r="G160" s="31">
        <v>1.0</v>
      </c>
      <c r="H160" s="27">
        <v>1.0</v>
      </c>
      <c r="I160" s="6"/>
      <c r="J160" s="5">
        <v>1.0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21">
        <v>160.0</v>
      </c>
      <c r="B161" s="32" t="s">
        <v>186</v>
      </c>
      <c r="C161" s="5" t="s">
        <v>13</v>
      </c>
      <c r="D161" s="28">
        <v>2.04</v>
      </c>
      <c r="E161" s="29">
        <v>2022.0</v>
      </c>
      <c r="F161" s="24"/>
      <c r="G161" s="25"/>
      <c r="H161" s="26"/>
      <c r="I161" s="6"/>
      <c r="J161" s="6"/>
      <c r="K161" s="6"/>
      <c r="L161" s="5">
        <v>1.0</v>
      </c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15">
        <v>161.0</v>
      </c>
      <c r="B162" s="32" t="s">
        <v>187</v>
      </c>
      <c r="C162" s="5" t="s">
        <v>17</v>
      </c>
      <c r="D162" s="28">
        <v>2.05</v>
      </c>
      <c r="E162" s="29">
        <v>2022.0</v>
      </c>
      <c r="F162" s="24"/>
      <c r="G162" s="25"/>
      <c r="H162" s="26"/>
      <c r="I162" s="6"/>
      <c r="J162" s="6"/>
      <c r="K162" s="6"/>
      <c r="L162" s="5">
        <v>1.0</v>
      </c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21">
        <v>162.0</v>
      </c>
      <c r="B163" s="32" t="s">
        <v>188</v>
      </c>
      <c r="C163" s="5" t="s">
        <v>13</v>
      </c>
      <c r="D163" s="28">
        <v>2.06</v>
      </c>
      <c r="E163" s="29">
        <v>2022.0</v>
      </c>
      <c r="F163" s="24"/>
      <c r="G163" s="31">
        <v>1.0</v>
      </c>
      <c r="H163" s="27">
        <v>1.0</v>
      </c>
      <c r="I163" s="6"/>
      <c r="J163" s="6"/>
      <c r="K163" s="5">
        <v>1.0</v>
      </c>
      <c r="L163" s="5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15">
        <v>163.0</v>
      </c>
      <c r="B164" s="32" t="s">
        <v>189</v>
      </c>
      <c r="C164" s="5" t="s">
        <v>17</v>
      </c>
      <c r="D164" s="28">
        <v>2.07</v>
      </c>
      <c r="E164" s="29">
        <v>2022.0</v>
      </c>
      <c r="F164" s="24"/>
      <c r="G164" s="25"/>
      <c r="H164" s="26"/>
      <c r="I164" s="6"/>
      <c r="J164" s="6"/>
      <c r="K164" s="6"/>
      <c r="L164" s="5">
        <v>1.0</v>
      </c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21">
        <v>164.0</v>
      </c>
      <c r="B165" s="32" t="s">
        <v>190</v>
      </c>
      <c r="C165" s="5" t="s">
        <v>17</v>
      </c>
      <c r="D165" s="28">
        <v>2.08</v>
      </c>
      <c r="E165" s="29">
        <v>2022.0</v>
      </c>
      <c r="F165" s="24"/>
      <c r="G165" s="25"/>
      <c r="H165" s="26"/>
      <c r="I165" s="6"/>
      <c r="J165" s="6"/>
      <c r="K165" s="6"/>
      <c r="L165" s="5">
        <v>1.0</v>
      </c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15">
        <v>165.0</v>
      </c>
      <c r="B166" s="32" t="s">
        <v>191</v>
      </c>
      <c r="C166" s="5" t="s">
        <v>13</v>
      </c>
      <c r="D166" s="28">
        <v>2.09000000000001</v>
      </c>
      <c r="E166" s="29">
        <v>2022.0</v>
      </c>
      <c r="F166" s="24"/>
      <c r="G166" s="25"/>
      <c r="H166" s="27">
        <v>2.0</v>
      </c>
      <c r="I166" s="6"/>
      <c r="J166" s="6"/>
      <c r="K166" s="5">
        <v>1.0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21">
        <v>166.0</v>
      </c>
      <c r="B167" s="32" t="s">
        <v>192</v>
      </c>
      <c r="C167" s="5" t="s">
        <v>17</v>
      </c>
      <c r="D167" s="28">
        <v>2.10000000000001</v>
      </c>
      <c r="E167" s="29">
        <v>2022.0</v>
      </c>
      <c r="F167" s="24"/>
      <c r="G167" s="25"/>
      <c r="H167" s="26"/>
      <c r="I167" s="6"/>
      <c r="J167" s="6"/>
      <c r="K167" s="6"/>
      <c r="L167" s="5">
        <v>1.0</v>
      </c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15">
        <v>167.0</v>
      </c>
      <c r="B168" s="32" t="s">
        <v>193</v>
      </c>
      <c r="C168" s="5" t="s">
        <v>13</v>
      </c>
      <c r="D168" s="28">
        <v>2.11000000000001</v>
      </c>
      <c r="E168" s="29">
        <v>2022.0</v>
      </c>
      <c r="F168" s="24"/>
      <c r="G168" s="25"/>
      <c r="H168" s="26"/>
      <c r="I168" s="6"/>
      <c r="J168" s="6"/>
      <c r="K168" s="6"/>
      <c r="L168" s="5">
        <v>1.0</v>
      </c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21">
        <v>168.0</v>
      </c>
      <c r="B169" s="32" t="s">
        <v>194</v>
      </c>
      <c r="C169" s="5" t="s">
        <v>17</v>
      </c>
      <c r="D169" s="28">
        <v>2.12000000000001</v>
      </c>
      <c r="E169" s="29">
        <v>2022.0</v>
      </c>
      <c r="F169" s="24"/>
      <c r="G169" s="25"/>
      <c r="H169" s="27">
        <v>1.0</v>
      </c>
      <c r="I169" s="6"/>
      <c r="J169" s="6"/>
      <c r="K169" s="6"/>
      <c r="L169" s="5">
        <v>1.0</v>
      </c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15">
        <v>169.0</v>
      </c>
      <c r="B170" s="32" t="s">
        <v>195</v>
      </c>
      <c r="C170" s="5" t="s">
        <v>18</v>
      </c>
      <c r="D170" s="28">
        <v>3.01</v>
      </c>
      <c r="E170" s="29">
        <v>2022.0</v>
      </c>
      <c r="F170" s="30">
        <v>1.0</v>
      </c>
      <c r="G170" s="25"/>
      <c r="H170" s="27">
        <v>1.0</v>
      </c>
      <c r="I170" s="6"/>
      <c r="J170" s="5">
        <v>1.0</v>
      </c>
      <c r="K170" s="6"/>
      <c r="L170" s="5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21">
        <v>170.0</v>
      </c>
      <c r="B171" s="32" t="s">
        <v>196</v>
      </c>
      <c r="C171" s="5" t="s">
        <v>13</v>
      </c>
      <c r="D171" s="28">
        <v>3.02</v>
      </c>
      <c r="E171" s="29">
        <v>2022.0</v>
      </c>
      <c r="F171" s="24"/>
      <c r="G171" s="25"/>
      <c r="H171" s="26"/>
      <c r="I171" s="6"/>
      <c r="J171" s="6"/>
      <c r="K171" s="6"/>
      <c r="L171" s="5">
        <v>1.0</v>
      </c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15">
        <v>171.0</v>
      </c>
      <c r="B172" s="32" t="s">
        <v>197</v>
      </c>
      <c r="C172" s="5" t="s">
        <v>17</v>
      </c>
      <c r="D172" s="28">
        <v>3.03</v>
      </c>
      <c r="E172" s="29">
        <v>2022.0</v>
      </c>
      <c r="F172" s="24"/>
      <c r="G172" s="25"/>
      <c r="H172" s="26"/>
      <c r="I172" s="6"/>
      <c r="J172" s="6"/>
      <c r="K172" s="6"/>
      <c r="L172" s="5">
        <v>1.0</v>
      </c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21">
        <v>172.0</v>
      </c>
      <c r="B173" s="32" t="s">
        <v>198</v>
      </c>
      <c r="C173" s="5" t="s">
        <v>6</v>
      </c>
      <c r="D173" s="28">
        <v>3.04</v>
      </c>
      <c r="E173" s="29">
        <v>2022.0</v>
      </c>
      <c r="F173" s="24"/>
      <c r="G173" s="25"/>
      <c r="H173" s="26"/>
      <c r="I173" s="6"/>
      <c r="J173" s="6"/>
      <c r="K173" s="6"/>
      <c r="L173" s="5">
        <v>1.0</v>
      </c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15">
        <v>173.0</v>
      </c>
      <c r="B174" s="32" t="s">
        <v>199</v>
      </c>
      <c r="C174" s="5" t="s">
        <v>18</v>
      </c>
      <c r="D174" s="28">
        <v>3.05</v>
      </c>
      <c r="E174" s="29">
        <v>2022.0</v>
      </c>
      <c r="F174" s="24"/>
      <c r="G174" s="25"/>
      <c r="H174" s="26"/>
      <c r="I174" s="6"/>
      <c r="J174" s="6"/>
      <c r="K174" s="6"/>
      <c r="L174" s="5">
        <v>1.0</v>
      </c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21">
        <v>174.0</v>
      </c>
      <c r="B175" s="32" t="s">
        <v>200</v>
      </c>
      <c r="C175" s="5" t="s">
        <v>17</v>
      </c>
      <c r="D175" s="28">
        <v>3.06</v>
      </c>
      <c r="E175" s="29">
        <v>2022.0</v>
      </c>
      <c r="F175" s="24"/>
      <c r="G175" s="25"/>
      <c r="H175" s="26"/>
      <c r="I175" s="6"/>
      <c r="J175" s="6"/>
      <c r="K175" s="6"/>
      <c r="L175" s="5">
        <v>1.0</v>
      </c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15">
        <v>175.0</v>
      </c>
      <c r="B176" s="32" t="s">
        <v>201</v>
      </c>
      <c r="C176" s="5" t="s">
        <v>17</v>
      </c>
      <c r="D176" s="28">
        <v>3.07</v>
      </c>
      <c r="E176" s="29">
        <v>2022.0</v>
      </c>
      <c r="F176" s="24"/>
      <c r="G176" s="25"/>
      <c r="H176" s="26"/>
      <c r="I176" s="6"/>
      <c r="J176" s="6"/>
      <c r="K176" s="6"/>
      <c r="L176" s="5">
        <v>1.0</v>
      </c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21">
        <v>176.0</v>
      </c>
      <c r="B177" s="32" t="s">
        <v>202</v>
      </c>
      <c r="C177" s="5" t="s">
        <v>17</v>
      </c>
      <c r="D177" s="28">
        <v>3.08</v>
      </c>
      <c r="E177" s="29">
        <v>2022.0</v>
      </c>
      <c r="F177" s="24"/>
      <c r="G177" s="25"/>
      <c r="H177" s="26"/>
      <c r="I177" s="6"/>
      <c r="J177" s="6"/>
      <c r="K177" s="6"/>
      <c r="L177" s="5">
        <v>1.0</v>
      </c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15">
        <v>177.0</v>
      </c>
      <c r="B178" s="32" t="s">
        <v>203</v>
      </c>
      <c r="C178" s="5" t="s">
        <v>13</v>
      </c>
      <c r="D178" s="28">
        <v>3.09000000000001</v>
      </c>
      <c r="E178" s="29">
        <v>2022.0</v>
      </c>
      <c r="F178" s="24"/>
      <c r="G178" s="25"/>
      <c r="H178" s="26"/>
      <c r="I178" s="6"/>
      <c r="J178" s="6"/>
      <c r="K178" s="6"/>
      <c r="L178" s="5">
        <v>1.0</v>
      </c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21">
        <v>178.0</v>
      </c>
      <c r="B179" s="32" t="s">
        <v>204</v>
      </c>
      <c r="C179" s="5" t="s">
        <v>18</v>
      </c>
      <c r="D179" s="28">
        <v>3.10000000000001</v>
      </c>
      <c r="E179" s="29">
        <v>2022.0</v>
      </c>
      <c r="F179" s="24"/>
      <c r="G179" s="25"/>
      <c r="H179" s="26"/>
      <c r="I179" s="6"/>
      <c r="J179" s="6"/>
      <c r="K179" s="6"/>
      <c r="L179" s="5">
        <v>1.0</v>
      </c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15">
        <v>179.0</v>
      </c>
      <c r="B180" s="32" t="s">
        <v>205</v>
      </c>
      <c r="C180" s="5" t="s">
        <v>17</v>
      </c>
      <c r="D180" s="28">
        <v>3.11000000000001</v>
      </c>
      <c r="E180" s="29">
        <v>2022.0</v>
      </c>
      <c r="F180" s="24"/>
      <c r="G180" s="25"/>
      <c r="H180" s="26"/>
      <c r="I180" s="6"/>
      <c r="J180" s="6"/>
      <c r="K180" s="6"/>
      <c r="L180" s="5">
        <v>1.0</v>
      </c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21">
        <v>180.0</v>
      </c>
      <c r="B181" s="32" t="s">
        <v>206</v>
      </c>
      <c r="C181" s="5" t="s">
        <v>13</v>
      </c>
      <c r="D181" s="28">
        <v>3.12000000000001</v>
      </c>
      <c r="E181" s="29">
        <v>2022.0</v>
      </c>
      <c r="F181" s="24"/>
      <c r="G181" s="25"/>
      <c r="H181" s="26"/>
      <c r="I181" s="6"/>
      <c r="J181" s="6"/>
      <c r="K181" s="6"/>
      <c r="L181" s="5">
        <v>1.0</v>
      </c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21">
        <v>181.0</v>
      </c>
      <c r="B182" s="32" t="s">
        <v>207</v>
      </c>
      <c r="C182" s="5" t="s">
        <v>13</v>
      </c>
      <c r="D182" s="28">
        <v>1.01</v>
      </c>
      <c r="E182" s="29">
        <v>2023.0</v>
      </c>
      <c r="F182" s="30">
        <v>2.0</v>
      </c>
      <c r="G182" s="25"/>
      <c r="H182" s="26"/>
      <c r="I182" s="6"/>
      <c r="J182" s="5">
        <v>1.0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15">
        <v>182.0</v>
      </c>
      <c r="B183" s="32" t="s">
        <v>208</v>
      </c>
      <c r="C183" s="5" t="s">
        <v>6</v>
      </c>
      <c r="D183" s="28">
        <v>1.02</v>
      </c>
      <c r="E183" s="29">
        <v>2023.0</v>
      </c>
      <c r="F183" s="24"/>
      <c r="G183" s="25"/>
      <c r="H183" s="26"/>
      <c r="I183" s="6"/>
      <c r="J183" s="6"/>
      <c r="K183" s="6"/>
      <c r="L183" s="5">
        <v>1.0</v>
      </c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21">
        <v>183.0</v>
      </c>
      <c r="B184" s="32" t="s">
        <v>209</v>
      </c>
      <c r="C184" s="5" t="s">
        <v>6</v>
      </c>
      <c r="D184" s="28">
        <v>1.03</v>
      </c>
      <c r="E184" s="29">
        <v>2023.0</v>
      </c>
      <c r="F184" s="24"/>
      <c r="G184" s="25"/>
      <c r="H184" s="26"/>
      <c r="I184" s="6"/>
      <c r="J184" s="6"/>
      <c r="K184" s="6"/>
      <c r="L184" s="5">
        <v>1.0</v>
      </c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21">
        <v>184.0</v>
      </c>
      <c r="B185" s="32" t="s">
        <v>210</v>
      </c>
      <c r="C185" s="5" t="s">
        <v>6</v>
      </c>
      <c r="D185" s="28">
        <v>1.04</v>
      </c>
      <c r="E185" s="29">
        <v>2023.0</v>
      </c>
      <c r="F185" s="24"/>
      <c r="G185" s="31">
        <v>1.0</v>
      </c>
      <c r="H185" s="27">
        <v>1.0</v>
      </c>
      <c r="I185" s="6"/>
      <c r="J185" s="6"/>
      <c r="K185" s="5">
        <v>1.0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15">
        <v>185.0</v>
      </c>
      <c r="B186" s="32" t="s">
        <v>211</v>
      </c>
      <c r="C186" s="5" t="s">
        <v>13</v>
      </c>
      <c r="D186" s="28">
        <v>1.05</v>
      </c>
      <c r="E186" s="29">
        <v>2023.0</v>
      </c>
      <c r="F186" s="30">
        <v>2.0</v>
      </c>
      <c r="G186" s="25"/>
      <c r="H186" s="26"/>
      <c r="I186" s="6"/>
      <c r="J186" s="5">
        <v>1.0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21">
        <v>186.0</v>
      </c>
      <c r="B187" s="33" t="s">
        <v>212</v>
      </c>
      <c r="C187" s="5" t="s">
        <v>17</v>
      </c>
      <c r="D187" s="28">
        <v>1.06</v>
      </c>
      <c r="E187" s="29">
        <v>2023.0</v>
      </c>
      <c r="F187" s="30">
        <v>1.0</v>
      </c>
      <c r="G187" s="25"/>
      <c r="H187" s="26"/>
      <c r="I187" s="5"/>
      <c r="J187" s="5">
        <v>1.0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21">
        <v>187.0</v>
      </c>
      <c r="B188" s="33" t="s">
        <v>213</v>
      </c>
      <c r="C188" s="5" t="s">
        <v>17</v>
      </c>
      <c r="D188" s="28">
        <v>1.07</v>
      </c>
      <c r="E188" s="29">
        <v>2023.0</v>
      </c>
      <c r="F188" s="24"/>
      <c r="G188" s="25"/>
      <c r="H188" s="26"/>
      <c r="I188" s="6"/>
      <c r="J188" s="6"/>
      <c r="K188" s="6"/>
      <c r="L188" s="5">
        <v>1.0</v>
      </c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15">
        <v>188.0</v>
      </c>
      <c r="B189" s="33" t="s">
        <v>214</v>
      </c>
      <c r="C189" s="5" t="s">
        <v>17</v>
      </c>
      <c r="D189" s="28">
        <v>1.08</v>
      </c>
      <c r="E189" s="29">
        <v>2023.0</v>
      </c>
      <c r="F189" s="24"/>
      <c r="G189" s="31">
        <v>2.0</v>
      </c>
      <c r="H189" s="26"/>
      <c r="I189" s="6"/>
      <c r="J189" s="5">
        <v>1.0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21">
        <v>189.0</v>
      </c>
      <c r="B190" s="33" t="s">
        <v>215</v>
      </c>
      <c r="C190" s="5" t="s">
        <v>18</v>
      </c>
      <c r="D190" s="28">
        <v>1.09</v>
      </c>
      <c r="E190" s="29">
        <v>2023.0</v>
      </c>
      <c r="F190" s="24"/>
      <c r="G190" s="25"/>
      <c r="H190" s="27">
        <v>1.0</v>
      </c>
      <c r="I190" s="6"/>
      <c r="J190" s="6"/>
      <c r="K190" s="6"/>
      <c r="L190" s="5">
        <v>1.0</v>
      </c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21">
        <v>190.0</v>
      </c>
      <c r="B191" s="33" t="s">
        <v>216</v>
      </c>
      <c r="C191" s="5" t="s">
        <v>17</v>
      </c>
      <c r="D191" s="28">
        <v>1.1</v>
      </c>
      <c r="E191" s="29">
        <v>2023.0</v>
      </c>
      <c r="F191" s="24"/>
      <c r="G191" s="25"/>
      <c r="H191" s="27">
        <v>2.0</v>
      </c>
      <c r="I191" s="6"/>
      <c r="J191" s="6"/>
      <c r="K191" s="5">
        <v>1.0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15">
        <v>191.0</v>
      </c>
      <c r="B192" s="33" t="s">
        <v>217</v>
      </c>
      <c r="C192" s="5" t="s">
        <v>6</v>
      </c>
      <c r="D192" s="28">
        <v>1.11</v>
      </c>
      <c r="E192" s="29">
        <v>2023.0</v>
      </c>
      <c r="F192" s="24"/>
      <c r="G192" s="25"/>
      <c r="H192" s="26"/>
      <c r="I192" s="6"/>
      <c r="J192" s="6"/>
      <c r="K192" s="6"/>
      <c r="L192" s="5">
        <v>1.0</v>
      </c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21">
        <v>192.0</v>
      </c>
      <c r="B193" s="33" t="s">
        <v>218</v>
      </c>
      <c r="C193" s="5" t="s">
        <v>13</v>
      </c>
      <c r="D193" s="28">
        <v>1.12</v>
      </c>
      <c r="E193" s="29">
        <v>2023.0</v>
      </c>
      <c r="F193" s="30">
        <v>1.0</v>
      </c>
      <c r="G193" s="31">
        <v>1.0</v>
      </c>
      <c r="H193" s="26"/>
      <c r="I193" s="6"/>
      <c r="J193" s="5">
        <v>1.0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21">
        <v>193.0</v>
      </c>
      <c r="B194" s="33" t="s">
        <v>219</v>
      </c>
      <c r="C194" s="5" t="s">
        <v>18</v>
      </c>
      <c r="D194" s="28">
        <v>2.01</v>
      </c>
      <c r="E194" s="29">
        <v>2023.0</v>
      </c>
      <c r="F194" s="24"/>
      <c r="G194" s="25"/>
      <c r="H194" s="26"/>
      <c r="I194" s="6"/>
      <c r="J194" s="6"/>
      <c r="K194" s="6"/>
      <c r="L194" s="5">
        <v>1.0</v>
      </c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15">
        <v>194.0</v>
      </c>
      <c r="B195" s="33" t="s">
        <v>220</v>
      </c>
      <c r="C195" s="5" t="s">
        <v>13</v>
      </c>
      <c r="D195" s="28">
        <v>2.02</v>
      </c>
      <c r="E195" s="29">
        <v>2023.0</v>
      </c>
      <c r="F195" s="24"/>
      <c r="G195" s="25"/>
      <c r="H195" s="27">
        <v>1.0</v>
      </c>
      <c r="I195" s="6"/>
      <c r="J195" s="6"/>
      <c r="K195" s="6"/>
      <c r="L195" s="5">
        <v>1.0</v>
      </c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21">
        <v>195.0</v>
      </c>
      <c r="B196" s="32" t="s">
        <v>221</v>
      </c>
      <c r="C196" s="5" t="s">
        <v>17</v>
      </c>
      <c r="D196" s="28">
        <v>2.03</v>
      </c>
      <c r="E196" s="29">
        <v>2023.0</v>
      </c>
      <c r="F196" s="24"/>
      <c r="G196" s="25"/>
      <c r="H196" s="26"/>
      <c r="I196" s="6"/>
      <c r="J196" s="6"/>
      <c r="K196" s="6"/>
      <c r="L196" s="5">
        <v>1.0</v>
      </c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21">
        <v>196.0</v>
      </c>
      <c r="B197" s="5" t="s">
        <v>222</v>
      </c>
      <c r="C197" s="5" t="s">
        <v>13</v>
      </c>
      <c r="D197" s="28">
        <v>2.04</v>
      </c>
      <c r="E197" s="29">
        <v>2023.0</v>
      </c>
      <c r="F197" s="24"/>
      <c r="G197" s="25"/>
      <c r="H197" s="26"/>
      <c r="I197" s="6"/>
      <c r="J197" s="6"/>
      <c r="K197" s="6"/>
      <c r="L197" s="5">
        <v>1.0</v>
      </c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15">
        <v>197.0</v>
      </c>
      <c r="B198" s="33" t="s">
        <v>223</v>
      </c>
      <c r="C198" s="5" t="s">
        <v>17</v>
      </c>
      <c r="D198" s="28">
        <v>2.05</v>
      </c>
      <c r="E198" s="29">
        <v>2023.0</v>
      </c>
      <c r="F198" s="24"/>
      <c r="G198" s="25"/>
      <c r="H198" s="27">
        <v>1.0</v>
      </c>
      <c r="I198" s="6"/>
      <c r="J198" s="6"/>
      <c r="K198" s="6"/>
      <c r="L198" s="5">
        <v>1.0</v>
      </c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21">
        <v>198.0</v>
      </c>
      <c r="B199" s="33" t="s">
        <v>224</v>
      </c>
      <c r="C199" s="5" t="s">
        <v>13</v>
      </c>
      <c r="D199" s="28">
        <v>2.06</v>
      </c>
      <c r="E199" s="29">
        <v>2023.0</v>
      </c>
      <c r="F199" s="24"/>
      <c r="G199" s="25"/>
      <c r="H199" s="26"/>
      <c r="I199" s="6"/>
      <c r="J199" s="6"/>
      <c r="K199" s="6"/>
      <c r="L199" s="5">
        <v>1.0</v>
      </c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21">
        <v>199.0</v>
      </c>
      <c r="B200" s="5" t="s">
        <v>225</v>
      </c>
      <c r="C200" s="5" t="s">
        <v>13</v>
      </c>
      <c r="D200" s="28">
        <v>2.07</v>
      </c>
      <c r="E200" s="29">
        <v>2023.0</v>
      </c>
      <c r="F200" s="24"/>
      <c r="G200" s="25"/>
      <c r="H200" s="27">
        <v>1.0</v>
      </c>
      <c r="I200" s="6"/>
      <c r="J200" s="6"/>
      <c r="K200" s="6"/>
      <c r="L200" s="5">
        <v>1.0</v>
      </c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15">
        <v>200.0</v>
      </c>
      <c r="B201" s="33" t="s">
        <v>226</v>
      </c>
      <c r="C201" s="5" t="s">
        <v>17</v>
      </c>
      <c r="D201" s="28">
        <v>2.08</v>
      </c>
      <c r="E201" s="29">
        <v>2023.0</v>
      </c>
      <c r="F201" s="24"/>
      <c r="G201" s="25"/>
      <c r="H201" s="26"/>
      <c r="I201" s="6"/>
      <c r="J201" s="6"/>
      <c r="K201" s="6"/>
      <c r="L201" s="5">
        <v>1.0</v>
      </c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21">
        <v>201.0</v>
      </c>
      <c r="B202" s="5" t="s">
        <v>227</v>
      </c>
      <c r="C202" s="5" t="s">
        <v>17</v>
      </c>
      <c r="D202" s="28">
        <v>2.09000000000001</v>
      </c>
      <c r="E202" s="29">
        <v>2023.0</v>
      </c>
      <c r="F202" s="24"/>
      <c r="G202" s="25"/>
      <c r="H202" s="26"/>
      <c r="I202" s="6"/>
      <c r="J202" s="6"/>
      <c r="K202" s="6"/>
      <c r="L202" s="5">
        <v>1.0</v>
      </c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21">
        <v>202.0</v>
      </c>
      <c r="B203" s="34" t="s">
        <v>228</v>
      </c>
      <c r="C203" s="5" t="s">
        <v>17</v>
      </c>
      <c r="D203" s="28">
        <v>2.10000000000001</v>
      </c>
      <c r="E203" s="29">
        <v>2023.0</v>
      </c>
      <c r="F203" s="24"/>
      <c r="G203" s="25"/>
      <c r="H203" s="27">
        <v>2.0</v>
      </c>
      <c r="I203" s="6"/>
      <c r="J203" s="6"/>
      <c r="K203" s="5">
        <v>1.0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15">
        <v>203.0</v>
      </c>
      <c r="B204" s="34" t="s">
        <v>229</v>
      </c>
      <c r="C204" s="5" t="s">
        <v>18</v>
      </c>
      <c r="D204" s="28">
        <v>2.11000000000001</v>
      </c>
      <c r="E204" s="29">
        <v>2023.0</v>
      </c>
      <c r="F204" s="30">
        <v>1.0</v>
      </c>
      <c r="G204" s="25"/>
      <c r="H204" s="27">
        <v>1.0</v>
      </c>
      <c r="I204" s="6"/>
      <c r="J204" s="5">
        <v>1.0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21">
        <v>204.0</v>
      </c>
      <c r="B205" s="5" t="s">
        <v>230</v>
      </c>
      <c r="C205" s="5" t="s">
        <v>13</v>
      </c>
      <c r="D205" s="28">
        <v>2.12000000000001</v>
      </c>
      <c r="E205" s="29">
        <v>2023.0</v>
      </c>
      <c r="F205" s="24"/>
      <c r="G205" s="25"/>
      <c r="H205" s="27">
        <v>1.0</v>
      </c>
      <c r="I205" s="6"/>
      <c r="J205" s="5"/>
      <c r="K205" s="6"/>
      <c r="L205" s="5">
        <v>1.0</v>
      </c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21">
        <v>205.0</v>
      </c>
      <c r="B206" s="33" t="s">
        <v>231</v>
      </c>
      <c r="C206" s="5" t="s">
        <v>6</v>
      </c>
      <c r="D206" s="28">
        <v>3.01</v>
      </c>
      <c r="E206" s="29">
        <v>2023.0</v>
      </c>
      <c r="F206" s="24"/>
      <c r="G206" s="25"/>
      <c r="H206" s="26"/>
      <c r="I206" s="6"/>
      <c r="J206" s="6"/>
      <c r="K206" s="6"/>
      <c r="L206" s="5">
        <v>1.0</v>
      </c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15">
        <v>206.0</v>
      </c>
      <c r="B207" s="33" t="s">
        <v>232</v>
      </c>
      <c r="C207" s="5" t="s">
        <v>17</v>
      </c>
      <c r="D207" s="28">
        <v>3.02</v>
      </c>
      <c r="E207" s="29">
        <v>2023.0</v>
      </c>
      <c r="F207" s="24"/>
      <c r="G207" s="25"/>
      <c r="H207" s="26"/>
      <c r="I207" s="6"/>
      <c r="J207" s="6"/>
      <c r="K207" s="6"/>
      <c r="L207" s="5">
        <v>1.0</v>
      </c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21">
        <v>207.0</v>
      </c>
      <c r="B208" s="33" t="s">
        <v>233</v>
      </c>
      <c r="C208" s="5" t="s">
        <v>18</v>
      </c>
      <c r="D208" s="28">
        <v>3.03</v>
      </c>
      <c r="E208" s="29">
        <v>2023.0</v>
      </c>
      <c r="F208" s="24"/>
      <c r="G208" s="25"/>
      <c r="H208" s="27">
        <v>1.0</v>
      </c>
      <c r="I208" s="6"/>
      <c r="J208" s="6"/>
      <c r="K208" s="6"/>
      <c r="L208" s="5">
        <v>1.0</v>
      </c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21">
        <v>208.0</v>
      </c>
      <c r="B209" s="33" t="s">
        <v>234</v>
      </c>
      <c r="C209" s="5" t="s">
        <v>17</v>
      </c>
      <c r="D209" s="28">
        <v>3.04</v>
      </c>
      <c r="E209" s="29">
        <v>2023.0</v>
      </c>
      <c r="F209" s="24"/>
      <c r="G209" s="25"/>
      <c r="H209" s="26"/>
      <c r="I209" s="6"/>
      <c r="J209" s="6"/>
      <c r="K209" s="6"/>
      <c r="L209" s="5">
        <v>1.0</v>
      </c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15">
        <v>209.0</v>
      </c>
      <c r="B210" s="5" t="s">
        <v>235</v>
      </c>
      <c r="C210" s="5" t="s">
        <v>13</v>
      </c>
      <c r="D210" s="28">
        <v>3.05</v>
      </c>
      <c r="E210" s="29">
        <v>2023.0</v>
      </c>
      <c r="F210" s="30">
        <v>1.0</v>
      </c>
      <c r="G210" s="25"/>
      <c r="H210" s="26"/>
      <c r="I210" s="6"/>
      <c r="J210" s="5">
        <v>1.0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21">
        <v>210.0</v>
      </c>
      <c r="B211" s="34" t="s">
        <v>236</v>
      </c>
      <c r="C211" s="5" t="s">
        <v>17</v>
      </c>
      <c r="D211" s="28">
        <v>3.06</v>
      </c>
      <c r="E211" s="29">
        <v>2023.0</v>
      </c>
      <c r="F211" s="24"/>
      <c r="G211" s="25"/>
      <c r="H211" s="26"/>
      <c r="I211" s="6"/>
      <c r="J211" s="6"/>
      <c r="K211" s="6"/>
      <c r="L211" s="5">
        <v>1.0</v>
      </c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21">
        <v>211.0</v>
      </c>
      <c r="B212" s="34" t="s">
        <v>237</v>
      </c>
      <c r="C212" s="5" t="s">
        <v>13</v>
      </c>
      <c r="D212" s="28">
        <v>3.07</v>
      </c>
      <c r="E212" s="29">
        <v>2023.0</v>
      </c>
      <c r="F212" s="24"/>
      <c r="G212" s="25"/>
      <c r="H212" s="26"/>
      <c r="I212" s="6"/>
      <c r="J212" s="6"/>
      <c r="K212" s="6"/>
      <c r="L212" s="5">
        <v>1.0</v>
      </c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15">
        <v>212.0</v>
      </c>
      <c r="B213" s="33" t="s">
        <v>238</v>
      </c>
      <c r="C213" s="5" t="s">
        <v>13</v>
      </c>
      <c r="D213" s="28">
        <v>3.08</v>
      </c>
      <c r="E213" s="29">
        <v>2023.0</v>
      </c>
      <c r="F213" s="24"/>
      <c r="G213" s="25"/>
      <c r="H213" s="26"/>
      <c r="I213" s="6"/>
      <c r="J213" s="6"/>
      <c r="K213" s="6"/>
      <c r="L213" s="5">
        <v>1.0</v>
      </c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21">
        <v>213.0</v>
      </c>
      <c r="B214" s="33" t="s">
        <v>239</v>
      </c>
      <c r="C214" s="5" t="s">
        <v>17</v>
      </c>
      <c r="D214" s="28">
        <v>3.09000000000001</v>
      </c>
      <c r="E214" s="29">
        <v>2023.0</v>
      </c>
      <c r="F214" s="24"/>
      <c r="G214" s="25"/>
      <c r="H214" s="26"/>
      <c r="I214" s="6"/>
      <c r="J214" s="6"/>
      <c r="K214" s="6"/>
      <c r="L214" s="5">
        <v>1.0</v>
      </c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21">
        <v>214.0</v>
      </c>
      <c r="B215" s="5" t="s">
        <v>240</v>
      </c>
      <c r="C215" s="5" t="s">
        <v>18</v>
      </c>
      <c r="D215" s="28">
        <v>3.10000000000001</v>
      </c>
      <c r="E215" s="29">
        <v>2023.0</v>
      </c>
      <c r="F215" s="24"/>
      <c r="G215" s="25"/>
      <c r="H215" s="26"/>
      <c r="I215" s="6"/>
      <c r="J215" s="6"/>
      <c r="K215" s="6"/>
      <c r="L215" s="5">
        <v>1.0</v>
      </c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15">
        <v>215.0</v>
      </c>
      <c r="B216" s="5" t="s">
        <v>241</v>
      </c>
      <c r="C216" s="5" t="s">
        <v>18</v>
      </c>
      <c r="D216" s="28">
        <v>3.11000000000001</v>
      </c>
      <c r="E216" s="29">
        <v>2023.0</v>
      </c>
      <c r="F216" s="24"/>
      <c r="G216" s="25"/>
      <c r="H216" s="26"/>
      <c r="I216" s="6"/>
      <c r="J216" s="6"/>
      <c r="K216" s="6"/>
      <c r="L216" s="5">
        <v>1.0</v>
      </c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21">
        <v>216.0</v>
      </c>
      <c r="B217" s="33" t="s">
        <v>242</v>
      </c>
      <c r="C217" s="5" t="s">
        <v>13</v>
      </c>
      <c r="D217" s="28">
        <v>3.12000000000001</v>
      </c>
      <c r="E217" s="29">
        <v>2023.0</v>
      </c>
      <c r="F217" s="24"/>
      <c r="G217" s="25"/>
      <c r="H217" s="26"/>
      <c r="I217" s="6"/>
      <c r="J217" s="6"/>
      <c r="K217" s="6"/>
      <c r="L217" s="5">
        <v>1.0</v>
      </c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6"/>
      <c r="D218" s="35"/>
      <c r="E218" s="29"/>
      <c r="F218" s="24"/>
      <c r="G218" s="25"/>
      <c r="H218" s="2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6"/>
      <c r="D219" s="35"/>
      <c r="E219" s="29"/>
      <c r="F219" s="24"/>
      <c r="G219" s="25"/>
      <c r="H219" s="2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6"/>
      <c r="D220" s="35"/>
      <c r="E220" s="29"/>
      <c r="F220" s="24"/>
      <c r="G220" s="25"/>
      <c r="H220" s="2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6"/>
      <c r="D221" s="35"/>
      <c r="E221" s="29"/>
      <c r="F221" s="24"/>
      <c r="G221" s="25"/>
      <c r="H221" s="2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6"/>
      <c r="D222" s="35"/>
      <c r="E222" s="29"/>
      <c r="F222" s="24"/>
      <c r="G222" s="25"/>
      <c r="H222" s="2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6"/>
      <c r="D223" s="35"/>
      <c r="E223" s="29"/>
      <c r="F223" s="24"/>
      <c r="G223" s="25"/>
      <c r="H223" s="2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6"/>
      <c r="D224" s="35"/>
      <c r="E224" s="29"/>
      <c r="F224" s="24"/>
      <c r="G224" s="25"/>
      <c r="H224" s="2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6"/>
      <c r="D225" s="35"/>
      <c r="E225" s="29"/>
      <c r="F225" s="24"/>
      <c r="G225" s="25"/>
      <c r="H225" s="2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6"/>
      <c r="D226" s="35"/>
      <c r="E226" s="29"/>
      <c r="F226" s="24"/>
      <c r="G226" s="25"/>
      <c r="H226" s="2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6"/>
      <c r="D227" s="35"/>
      <c r="E227" s="29"/>
      <c r="F227" s="24"/>
      <c r="G227" s="25"/>
      <c r="H227" s="2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6"/>
      <c r="D228" s="35"/>
      <c r="E228" s="29"/>
      <c r="F228" s="24"/>
      <c r="G228" s="25"/>
      <c r="H228" s="2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35"/>
      <c r="E229" s="29"/>
      <c r="F229" s="24"/>
      <c r="G229" s="25"/>
      <c r="H229" s="2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35"/>
      <c r="E230" s="29"/>
      <c r="F230" s="24"/>
      <c r="G230" s="25"/>
      <c r="H230" s="2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35"/>
      <c r="E231" s="29"/>
      <c r="F231" s="24"/>
      <c r="G231" s="25"/>
      <c r="H231" s="2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35"/>
      <c r="E232" s="29"/>
      <c r="F232" s="24"/>
      <c r="G232" s="25"/>
      <c r="H232" s="2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35"/>
      <c r="E233" s="29"/>
      <c r="F233" s="24"/>
      <c r="G233" s="25"/>
      <c r="H233" s="2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35"/>
      <c r="E234" s="29"/>
      <c r="F234" s="24"/>
      <c r="G234" s="25"/>
      <c r="H234" s="2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35"/>
      <c r="E235" s="29"/>
      <c r="F235" s="24"/>
      <c r="G235" s="25"/>
      <c r="H235" s="2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35"/>
      <c r="E236" s="29"/>
      <c r="F236" s="24"/>
      <c r="G236" s="25"/>
      <c r="H236" s="2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35"/>
      <c r="E237" s="29"/>
      <c r="F237" s="24"/>
      <c r="G237" s="25"/>
      <c r="H237" s="2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35"/>
      <c r="E238" s="29"/>
      <c r="F238" s="24"/>
      <c r="G238" s="25"/>
      <c r="H238" s="2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35"/>
      <c r="E239" s="29"/>
      <c r="F239" s="24"/>
      <c r="G239" s="25"/>
      <c r="H239" s="2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35"/>
      <c r="E240" s="29"/>
      <c r="F240" s="24"/>
      <c r="G240" s="25"/>
      <c r="H240" s="2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35"/>
      <c r="E241" s="29"/>
      <c r="F241" s="24"/>
      <c r="G241" s="25"/>
      <c r="H241" s="2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35"/>
      <c r="E242" s="36"/>
      <c r="F242" s="24"/>
      <c r="G242" s="25"/>
      <c r="H242" s="2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35"/>
      <c r="E243" s="36"/>
      <c r="F243" s="24"/>
      <c r="G243" s="25"/>
      <c r="H243" s="2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35"/>
      <c r="E244" s="36"/>
      <c r="F244" s="24"/>
      <c r="G244" s="25"/>
      <c r="H244" s="2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35"/>
      <c r="E245" s="36"/>
      <c r="F245" s="24"/>
      <c r="G245" s="25"/>
      <c r="H245" s="2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35"/>
      <c r="E246" s="36"/>
      <c r="F246" s="24"/>
      <c r="G246" s="25"/>
      <c r="H246" s="2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35"/>
      <c r="E247" s="36"/>
      <c r="F247" s="24"/>
      <c r="G247" s="25"/>
      <c r="H247" s="2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35"/>
      <c r="E248" s="36"/>
      <c r="F248" s="24"/>
      <c r="G248" s="25"/>
      <c r="H248" s="2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35"/>
      <c r="E249" s="36"/>
      <c r="F249" s="24"/>
      <c r="G249" s="25"/>
      <c r="H249" s="2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35"/>
      <c r="E250" s="36"/>
      <c r="F250" s="24"/>
      <c r="G250" s="25"/>
      <c r="H250" s="2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35"/>
      <c r="E251" s="36"/>
      <c r="F251" s="24"/>
      <c r="G251" s="25"/>
      <c r="H251" s="2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35"/>
      <c r="E252" s="36"/>
      <c r="F252" s="24"/>
      <c r="G252" s="25"/>
      <c r="H252" s="2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35"/>
      <c r="E253" s="36"/>
      <c r="F253" s="24"/>
      <c r="G253" s="25"/>
      <c r="H253" s="2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35"/>
      <c r="E254" s="36"/>
      <c r="F254" s="24"/>
      <c r="G254" s="25"/>
      <c r="H254" s="2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35"/>
      <c r="E255" s="36"/>
      <c r="F255" s="24"/>
      <c r="G255" s="25"/>
      <c r="H255" s="2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35"/>
      <c r="E256" s="36"/>
      <c r="F256" s="24"/>
      <c r="G256" s="25"/>
      <c r="H256" s="2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35"/>
      <c r="E257" s="36"/>
      <c r="F257" s="24"/>
      <c r="G257" s="25"/>
      <c r="H257" s="2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35"/>
      <c r="E258" s="36"/>
      <c r="F258" s="24"/>
      <c r="G258" s="25"/>
      <c r="H258" s="2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35"/>
      <c r="E259" s="36"/>
      <c r="F259" s="24"/>
      <c r="G259" s="25"/>
      <c r="H259" s="2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35"/>
      <c r="E260" s="36"/>
      <c r="F260" s="24"/>
      <c r="G260" s="25"/>
      <c r="H260" s="2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35"/>
      <c r="E261" s="36"/>
      <c r="F261" s="24"/>
      <c r="G261" s="25"/>
      <c r="H261" s="2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35"/>
      <c r="E262" s="36"/>
      <c r="F262" s="24"/>
      <c r="G262" s="25"/>
      <c r="H262" s="2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35"/>
      <c r="E263" s="36"/>
      <c r="F263" s="24"/>
      <c r="G263" s="25"/>
      <c r="H263" s="2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35"/>
      <c r="E264" s="36"/>
      <c r="F264" s="24"/>
      <c r="G264" s="25"/>
      <c r="H264" s="2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35"/>
      <c r="E265" s="36"/>
      <c r="F265" s="24"/>
      <c r="G265" s="25"/>
      <c r="H265" s="2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35"/>
      <c r="E266" s="36"/>
      <c r="F266" s="24"/>
      <c r="G266" s="25"/>
      <c r="H266" s="2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35"/>
      <c r="E267" s="36"/>
      <c r="F267" s="24"/>
      <c r="G267" s="25"/>
      <c r="H267" s="2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35"/>
      <c r="E268" s="36"/>
      <c r="F268" s="24"/>
      <c r="G268" s="25"/>
      <c r="H268" s="2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35"/>
      <c r="E269" s="36"/>
      <c r="F269" s="24"/>
      <c r="G269" s="25"/>
      <c r="H269" s="2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35"/>
      <c r="E270" s="36"/>
      <c r="F270" s="24"/>
      <c r="G270" s="25"/>
      <c r="H270" s="2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35"/>
      <c r="E271" s="36"/>
      <c r="F271" s="24"/>
      <c r="G271" s="25"/>
      <c r="H271" s="2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35"/>
      <c r="E272" s="36"/>
      <c r="F272" s="24"/>
      <c r="G272" s="25"/>
      <c r="H272" s="2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35"/>
      <c r="E273" s="36"/>
      <c r="F273" s="24"/>
      <c r="G273" s="25"/>
      <c r="H273" s="2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35"/>
      <c r="E274" s="36"/>
      <c r="F274" s="24"/>
      <c r="G274" s="25"/>
      <c r="H274" s="2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35"/>
      <c r="E275" s="36"/>
      <c r="F275" s="24"/>
      <c r="G275" s="25"/>
      <c r="H275" s="2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35"/>
      <c r="E276" s="36"/>
      <c r="F276" s="24"/>
      <c r="G276" s="25"/>
      <c r="H276" s="2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35"/>
      <c r="E277" s="36"/>
      <c r="F277" s="24"/>
      <c r="G277" s="25"/>
      <c r="H277" s="2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35"/>
      <c r="E278" s="36"/>
      <c r="F278" s="24"/>
      <c r="G278" s="25"/>
      <c r="H278" s="2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35"/>
      <c r="E279" s="36"/>
      <c r="F279" s="24"/>
      <c r="G279" s="25"/>
      <c r="H279" s="2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35"/>
      <c r="E280" s="36"/>
      <c r="F280" s="24"/>
      <c r="G280" s="25"/>
      <c r="H280" s="2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35"/>
      <c r="E281" s="36"/>
      <c r="F281" s="24"/>
      <c r="G281" s="25"/>
      <c r="H281" s="2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35"/>
      <c r="E282" s="36"/>
      <c r="F282" s="24"/>
      <c r="G282" s="25"/>
      <c r="H282" s="2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35"/>
      <c r="E283" s="36"/>
      <c r="F283" s="24"/>
      <c r="G283" s="25"/>
      <c r="H283" s="2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35"/>
      <c r="E284" s="36"/>
      <c r="F284" s="24"/>
      <c r="G284" s="25"/>
      <c r="H284" s="2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35"/>
      <c r="E285" s="36"/>
      <c r="F285" s="24"/>
      <c r="G285" s="25"/>
      <c r="H285" s="2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35"/>
      <c r="E286" s="36"/>
      <c r="F286" s="24"/>
      <c r="G286" s="25"/>
      <c r="H286" s="2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35"/>
      <c r="E287" s="36"/>
      <c r="F287" s="24"/>
      <c r="G287" s="25"/>
      <c r="H287" s="2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35"/>
      <c r="E288" s="36"/>
      <c r="F288" s="24"/>
      <c r="G288" s="25"/>
      <c r="H288" s="2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35"/>
      <c r="E289" s="36"/>
      <c r="F289" s="24"/>
      <c r="G289" s="25"/>
      <c r="H289" s="2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35"/>
      <c r="E290" s="36"/>
      <c r="F290" s="24"/>
      <c r="G290" s="25"/>
      <c r="H290" s="2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35"/>
      <c r="E291" s="36"/>
      <c r="F291" s="24"/>
      <c r="G291" s="25"/>
      <c r="H291" s="2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35"/>
      <c r="E292" s="36"/>
      <c r="F292" s="24"/>
      <c r="G292" s="25"/>
      <c r="H292" s="2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35"/>
      <c r="E293" s="36"/>
      <c r="F293" s="24"/>
      <c r="G293" s="25"/>
      <c r="H293" s="2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35"/>
      <c r="E294" s="36"/>
      <c r="F294" s="24"/>
      <c r="G294" s="25"/>
      <c r="H294" s="2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35"/>
      <c r="E295" s="36"/>
      <c r="F295" s="24"/>
      <c r="G295" s="25"/>
      <c r="H295" s="2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35"/>
      <c r="E296" s="36"/>
      <c r="F296" s="24"/>
      <c r="G296" s="25"/>
      <c r="H296" s="2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35"/>
      <c r="E297" s="36"/>
      <c r="F297" s="24"/>
      <c r="G297" s="25"/>
      <c r="H297" s="2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35"/>
      <c r="E298" s="36"/>
      <c r="F298" s="24"/>
      <c r="G298" s="25"/>
      <c r="H298" s="2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35"/>
      <c r="E299" s="36"/>
      <c r="F299" s="24"/>
      <c r="G299" s="25"/>
      <c r="H299" s="2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35"/>
      <c r="E300" s="36"/>
      <c r="F300" s="24"/>
      <c r="G300" s="25"/>
      <c r="H300" s="2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35"/>
      <c r="E301" s="36"/>
      <c r="F301" s="24"/>
      <c r="G301" s="25"/>
      <c r="H301" s="2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35"/>
      <c r="E302" s="36"/>
      <c r="F302" s="24"/>
      <c r="G302" s="25"/>
      <c r="H302" s="2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35"/>
      <c r="E303" s="36"/>
      <c r="F303" s="24"/>
      <c r="G303" s="25"/>
      <c r="H303" s="2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35"/>
      <c r="E304" s="36"/>
      <c r="F304" s="24"/>
      <c r="G304" s="25"/>
      <c r="H304" s="2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35"/>
      <c r="E305" s="36"/>
      <c r="F305" s="24"/>
      <c r="G305" s="25"/>
      <c r="H305" s="2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35"/>
      <c r="E306" s="36"/>
      <c r="F306" s="24"/>
      <c r="G306" s="25"/>
      <c r="H306" s="2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35"/>
      <c r="E307" s="36"/>
      <c r="F307" s="24"/>
      <c r="G307" s="25"/>
      <c r="H307" s="2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35"/>
      <c r="E308" s="36"/>
      <c r="F308" s="24"/>
      <c r="G308" s="25"/>
      <c r="H308" s="2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35"/>
      <c r="E309" s="36"/>
      <c r="F309" s="24"/>
      <c r="G309" s="25"/>
      <c r="H309" s="2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35"/>
      <c r="E310" s="36"/>
      <c r="F310" s="24"/>
      <c r="G310" s="25"/>
      <c r="H310" s="2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35"/>
      <c r="E311" s="36"/>
      <c r="F311" s="24"/>
      <c r="G311" s="25"/>
      <c r="H311" s="2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35"/>
      <c r="E312" s="36"/>
      <c r="F312" s="24"/>
      <c r="G312" s="25"/>
      <c r="H312" s="2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35"/>
      <c r="E313" s="36"/>
      <c r="F313" s="24"/>
      <c r="G313" s="25"/>
      <c r="H313" s="2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35"/>
      <c r="E314" s="36"/>
      <c r="F314" s="24"/>
      <c r="G314" s="25"/>
      <c r="H314" s="2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35"/>
      <c r="E315" s="36"/>
      <c r="F315" s="24"/>
      <c r="G315" s="25"/>
      <c r="H315" s="2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35"/>
      <c r="E316" s="36"/>
      <c r="F316" s="24"/>
      <c r="G316" s="25"/>
      <c r="H316" s="2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35"/>
      <c r="E317" s="36"/>
      <c r="F317" s="24"/>
      <c r="G317" s="25"/>
      <c r="H317" s="2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35"/>
      <c r="E318" s="36"/>
      <c r="F318" s="24"/>
      <c r="G318" s="25"/>
      <c r="H318" s="2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35"/>
      <c r="E319" s="36"/>
      <c r="F319" s="24"/>
      <c r="G319" s="25"/>
      <c r="H319" s="2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35"/>
      <c r="E320" s="36"/>
      <c r="F320" s="24"/>
      <c r="G320" s="25"/>
      <c r="H320" s="2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35"/>
      <c r="E321" s="36"/>
      <c r="F321" s="24"/>
      <c r="G321" s="25"/>
      <c r="H321" s="2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35"/>
      <c r="E322" s="36"/>
      <c r="F322" s="24"/>
      <c r="G322" s="25"/>
      <c r="H322" s="2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35"/>
      <c r="E323" s="36"/>
      <c r="F323" s="24"/>
      <c r="G323" s="25"/>
      <c r="H323" s="2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35"/>
      <c r="E324" s="36"/>
      <c r="F324" s="24"/>
      <c r="G324" s="25"/>
      <c r="H324" s="2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35"/>
      <c r="E325" s="36"/>
      <c r="F325" s="24"/>
      <c r="G325" s="25"/>
      <c r="H325" s="2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35"/>
      <c r="E326" s="36"/>
      <c r="F326" s="24"/>
      <c r="G326" s="25"/>
      <c r="H326" s="2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35"/>
      <c r="E327" s="36"/>
      <c r="F327" s="24"/>
      <c r="G327" s="25"/>
      <c r="H327" s="2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35"/>
      <c r="E328" s="36"/>
      <c r="F328" s="24"/>
      <c r="G328" s="25"/>
      <c r="H328" s="2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35"/>
      <c r="E329" s="36"/>
      <c r="F329" s="24"/>
      <c r="G329" s="25"/>
      <c r="H329" s="2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35"/>
      <c r="E330" s="36"/>
      <c r="F330" s="24"/>
      <c r="G330" s="25"/>
      <c r="H330" s="2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35"/>
      <c r="E331" s="36"/>
      <c r="F331" s="24"/>
      <c r="G331" s="25"/>
      <c r="H331" s="2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35"/>
      <c r="E332" s="36"/>
      <c r="F332" s="24"/>
      <c r="G332" s="25"/>
      <c r="H332" s="2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35"/>
      <c r="E333" s="36"/>
      <c r="F333" s="24"/>
      <c r="G333" s="25"/>
      <c r="H333" s="2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35"/>
      <c r="E334" s="36"/>
      <c r="F334" s="24"/>
      <c r="G334" s="25"/>
      <c r="H334" s="2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35"/>
      <c r="E335" s="36"/>
      <c r="F335" s="24"/>
      <c r="G335" s="25"/>
      <c r="H335" s="2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35"/>
      <c r="E336" s="36"/>
      <c r="F336" s="24"/>
      <c r="G336" s="25"/>
      <c r="H336" s="2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35"/>
      <c r="E337" s="36"/>
      <c r="F337" s="24"/>
      <c r="G337" s="25"/>
      <c r="H337" s="2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35"/>
      <c r="E338" s="36"/>
      <c r="F338" s="24"/>
      <c r="G338" s="25"/>
      <c r="H338" s="2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35"/>
      <c r="E339" s="36"/>
      <c r="F339" s="24"/>
      <c r="G339" s="25"/>
      <c r="H339" s="2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35"/>
      <c r="E340" s="36"/>
      <c r="F340" s="24"/>
      <c r="G340" s="25"/>
      <c r="H340" s="2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35"/>
      <c r="E341" s="36"/>
      <c r="F341" s="24"/>
      <c r="G341" s="25"/>
      <c r="H341" s="2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35"/>
      <c r="E342" s="36"/>
      <c r="F342" s="24"/>
      <c r="G342" s="25"/>
      <c r="H342" s="2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35"/>
      <c r="E343" s="36"/>
      <c r="F343" s="24"/>
      <c r="G343" s="25"/>
      <c r="H343" s="2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35"/>
      <c r="E344" s="36"/>
      <c r="F344" s="24"/>
      <c r="G344" s="25"/>
      <c r="H344" s="2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35"/>
      <c r="E345" s="36"/>
      <c r="F345" s="24"/>
      <c r="G345" s="25"/>
      <c r="H345" s="2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35"/>
      <c r="E346" s="36"/>
      <c r="F346" s="24"/>
      <c r="G346" s="25"/>
      <c r="H346" s="2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35"/>
      <c r="E347" s="36"/>
      <c r="F347" s="24"/>
      <c r="G347" s="25"/>
      <c r="H347" s="2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35"/>
      <c r="E348" s="36"/>
      <c r="F348" s="24"/>
      <c r="G348" s="25"/>
      <c r="H348" s="2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35"/>
      <c r="E349" s="36"/>
      <c r="F349" s="24"/>
      <c r="G349" s="25"/>
      <c r="H349" s="2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35"/>
      <c r="E350" s="36"/>
      <c r="F350" s="24"/>
      <c r="G350" s="25"/>
      <c r="H350" s="2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35"/>
      <c r="E351" s="36"/>
      <c r="F351" s="24"/>
      <c r="G351" s="25"/>
      <c r="H351" s="2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35"/>
      <c r="E352" s="36"/>
      <c r="F352" s="24"/>
      <c r="G352" s="25"/>
      <c r="H352" s="2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35"/>
      <c r="E353" s="36"/>
      <c r="F353" s="24"/>
      <c r="G353" s="25"/>
      <c r="H353" s="2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35"/>
      <c r="E354" s="36"/>
      <c r="F354" s="24"/>
      <c r="G354" s="25"/>
      <c r="H354" s="2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35"/>
      <c r="E355" s="36"/>
      <c r="F355" s="24"/>
      <c r="G355" s="25"/>
      <c r="H355" s="2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35"/>
      <c r="E356" s="36"/>
      <c r="F356" s="24"/>
      <c r="G356" s="25"/>
      <c r="H356" s="2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35"/>
      <c r="E357" s="36"/>
      <c r="F357" s="24"/>
      <c r="G357" s="25"/>
      <c r="H357" s="2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35"/>
      <c r="E358" s="36"/>
      <c r="F358" s="24"/>
      <c r="G358" s="25"/>
      <c r="H358" s="2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35"/>
      <c r="E359" s="36"/>
      <c r="F359" s="24"/>
      <c r="G359" s="25"/>
      <c r="H359" s="2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35"/>
      <c r="E360" s="36"/>
      <c r="F360" s="24"/>
      <c r="G360" s="25"/>
      <c r="H360" s="2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35"/>
      <c r="E361" s="36"/>
      <c r="F361" s="24"/>
      <c r="G361" s="25"/>
      <c r="H361" s="2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35"/>
      <c r="E362" s="36"/>
      <c r="F362" s="24"/>
      <c r="G362" s="25"/>
      <c r="H362" s="2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35"/>
      <c r="E363" s="36"/>
      <c r="F363" s="24"/>
      <c r="G363" s="25"/>
      <c r="H363" s="2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35"/>
      <c r="E364" s="36"/>
      <c r="F364" s="24"/>
      <c r="G364" s="25"/>
      <c r="H364" s="2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35"/>
      <c r="E365" s="36"/>
      <c r="F365" s="24"/>
      <c r="G365" s="25"/>
      <c r="H365" s="2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35"/>
      <c r="E366" s="36"/>
      <c r="F366" s="24"/>
      <c r="G366" s="25"/>
      <c r="H366" s="2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35"/>
      <c r="E367" s="36"/>
      <c r="F367" s="24"/>
      <c r="G367" s="25"/>
      <c r="H367" s="2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35"/>
      <c r="E368" s="36"/>
      <c r="F368" s="24"/>
      <c r="G368" s="25"/>
      <c r="H368" s="2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35"/>
      <c r="E369" s="36"/>
      <c r="F369" s="24"/>
      <c r="G369" s="25"/>
      <c r="H369" s="2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35"/>
      <c r="E370" s="36"/>
      <c r="F370" s="24"/>
      <c r="G370" s="25"/>
      <c r="H370" s="2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35"/>
      <c r="E371" s="36"/>
      <c r="F371" s="24"/>
      <c r="G371" s="25"/>
      <c r="H371" s="2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35"/>
      <c r="E372" s="36"/>
      <c r="F372" s="24"/>
      <c r="G372" s="25"/>
      <c r="H372" s="2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35"/>
      <c r="E373" s="36"/>
      <c r="F373" s="24"/>
      <c r="G373" s="25"/>
      <c r="H373" s="2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35"/>
      <c r="E374" s="36"/>
      <c r="F374" s="24"/>
      <c r="G374" s="25"/>
      <c r="H374" s="2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35"/>
      <c r="E375" s="36"/>
      <c r="F375" s="24"/>
      <c r="G375" s="25"/>
      <c r="H375" s="2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35"/>
      <c r="E376" s="36"/>
      <c r="F376" s="24"/>
      <c r="G376" s="25"/>
      <c r="H376" s="2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35"/>
      <c r="E377" s="36"/>
      <c r="F377" s="24"/>
      <c r="G377" s="25"/>
      <c r="H377" s="2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35"/>
      <c r="E378" s="36"/>
      <c r="F378" s="24"/>
      <c r="G378" s="25"/>
      <c r="H378" s="2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35"/>
      <c r="E379" s="36"/>
      <c r="F379" s="24"/>
      <c r="G379" s="25"/>
      <c r="H379" s="2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35"/>
      <c r="E380" s="36"/>
      <c r="F380" s="24"/>
      <c r="G380" s="25"/>
      <c r="H380" s="2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35"/>
      <c r="E381" s="36"/>
      <c r="F381" s="24"/>
      <c r="G381" s="25"/>
      <c r="H381" s="2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35"/>
      <c r="E382" s="36"/>
      <c r="F382" s="24"/>
      <c r="G382" s="25"/>
      <c r="H382" s="2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35"/>
      <c r="E383" s="36"/>
      <c r="F383" s="24"/>
      <c r="G383" s="25"/>
      <c r="H383" s="2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35"/>
      <c r="E384" s="36"/>
      <c r="F384" s="24"/>
      <c r="G384" s="25"/>
      <c r="H384" s="2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35"/>
      <c r="E385" s="36"/>
      <c r="F385" s="24"/>
      <c r="G385" s="25"/>
      <c r="H385" s="2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35"/>
      <c r="E386" s="36"/>
      <c r="F386" s="24"/>
      <c r="G386" s="25"/>
      <c r="H386" s="2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35"/>
      <c r="E387" s="36"/>
      <c r="F387" s="24"/>
      <c r="G387" s="25"/>
      <c r="H387" s="2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35"/>
      <c r="E388" s="36"/>
      <c r="F388" s="24"/>
      <c r="G388" s="25"/>
      <c r="H388" s="2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35"/>
      <c r="E389" s="36"/>
      <c r="F389" s="24"/>
      <c r="G389" s="25"/>
      <c r="H389" s="2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35"/>
      <c r="E390" s="36"/>
      <c r="F390" s="24"/>
      <c r="G390" s="25"/>
      <c r="H390" s="2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35"/>
      <c r="E391" s="36"/>
      <c r="F391" s="24"/>
      <c r="G391" s="25"/>
      <c r="H391" s="2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35"/>
      <c r="E392" s="36"/>
      <c r="F392" s="24"/>
      <c r="G392" s="25"/>
      <c r="H392" s="2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35"/>
      <c r="E393" s="36"/>
      <c r="F393" s="24"/>
      <c r="G393" s="25"/>
      <c r="H393" s="2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35"/>
      <c r="E394" s="36"/>
      <c r="F394" s="24"/>
      <c r="G394" s="25"/>
      <c r="H394" s="2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35"/>
      <c r="E395" s="36"/>
      <c r="F395" s="24"/>
      <c r="G395" s="25"/>
      <c r="H395" s="2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35"/>
      <c r="E396" s="36"/>
      <c r="F396" s="24"/>
      <c r="G396" s="25"/>
      <c r="H396" s="2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6"/>
      <c r="D397" s="35"/>
      <c r="E397" s="36"/>
      <c r="F397" s="24"/>
      <c r="G397" s="25"/>
      <c r="H397" s="2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6"/>
      <c r="D398" s="35"/>
      <c r="E398" s="36"/>
      <c r="F398" s="24"/>
      <c r="G398" s="25"/>
      <c r="H398" s="2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6"/>
      <c r="D399" s="35"/>
      <c r="E399" s="36"/>
      <c r="F399" s="24"/>
      <c r="G399" s="25"/>
      <c r="H399" s="2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6"/>
      <c r="D400" s="35"/>
      <c r="E400" s="36"/>
      <c r="F400" s="24"/>
      <c r="G400" s="25"/>
      <c r="H400" s="2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6"/>
      <c r="D401" s="35"/>
      <c r="E401" s="36"/>
      <c r="F401" s="24"/>
      <c r="G401" s="25"/>
      <c r="H401" s="2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6"/>
      <c r="D402" s="35"/>
      <c r="E402" s="36"/>
      <c r="F402" s="24"/>
      <c r="G402" s="25"/>
      <c r="H402" s="2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6"/>
      <c r="D403" s="35"/>
      <c r="E403" s="36"/>
      <c r="F403" s="24"/>
      <c r="G403" s="25"/>
      <c r="H403" s="2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6"/>
      <c r="D404" s="35"/>
      <c r="E404" s="36"/>
      <c r="F404" s="24"/>
      <c r="G404" s="25"/>
      <c r="H404" s="2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6"/>
      <c r="D405" s="35"/>
      <c r="E405" s="36"/>
      <c r="F405" s="24"/>
      <c r="G405" s="25"/>
      <c r="H405" s="2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6"/>
      <c r="D406" s="35"/>
      <c r="E406" s="36"/>
      <c r="F406" s="24"/>
      <c r="G406" s="25"/>
      <c r="H406" s="2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6"/>
      <c r="D407" s="35"/>
      <c r="E407" s="36"/>
      <c r="F407" s="24"/>
      <c r="G407" s="25"/>
      <c r="H407" s="2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6"/>
      <c r="D408" s="35"/>
      <c r="E408" s="36"/>
      <c r="F408" s="24"/>
      <c r="G408" s="25"/>
      <c r="H408" s="2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6"/>
      <c r="D409" s="35"/>
      <c r="E409" s="36"/>
      <c r="F409" s="24"/>
      <c r="G409" s="25"/>
      <c r="H409" s="2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6"/>
      <c r="D410" s="35"/>
      <c r="E410" s="36"/>
      <c r="F410" s="24"/>
      <c r="G410" s="25"/>
      <c r="H410" s="2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6"/>
      <c r="D411" s="35"/>
      <c r="E411" s="36"/>
      <c r="F411" s="24"/>
      <c r="G411" s="25"/>
      <c r="H411" s="2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6"/>
      <c r="D412" s="35"/>
      <c r="E412" s="36"/>
      <c r="F412" s="24"/>
      <c r="G412" s="25"/>
      <c r="H412" s="2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6"/>
      <c r="D413" s="35"/>
      <c r="E413" s="36"/>
      <c r="F413" s="24"/>
      <c r="G413" s="25"/>
      <c r="H413" s="2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6"/>
      <c r="D414" s="35"/>
      <c r="E414" s="36"/>
      <c r="F414" s="24"/>
      <c r="G414" s="25"/>
      <c r="H414" s="2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6"/>
      <c r="D415" s="35"/>
      <c r="E415" s="36"/>
      <c r="F415" s="24"/>
      <c r="G415" s="25"/>
      <c r="H415" s="2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6"/>
      <c r="D416" s="35"/>
      <c r="E416" s="36"/>
      <c r="F416" s="24"/>
      <c r="G416" s="25"/>
      <c r="H416" s="2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6"/>
      <c r="D417" s="35"/>
      <c r="E417" s="36"/>
      <c r="F417" s="24"/>
      <c r="G417" s="25"/>
      <c r="H417" s="2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6"/>
      <c r="D418" s="35"/>
      <c r="E418" s="36"/>
      <c r="F418" s="24"/>
      <c r="G418" s="25"/>
      <c r="H418" s="2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6"/>
      <c r="D419" s="35"/>
      <c r="E419" s="36"/>
      <c r="F419" s="24"/>
      <c r="G419" s="25"/>
      <c r="H419" s="2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6"/>
      <c r="D420" s="35"/>
      <c r="E420" s="36"/>
      <c r="F420" s="24"/>
      <c r="G420" s="25"/>
      <c r="H420" s="2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6"/>
      <c r="D421" s="35"/>
      <c r="E421" s="36"/>
      <c r="F421" s="24"/>
      <c r="G421" s="25"/>
      <c r="H421" s="2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6"/>
      <c r="D422" s="35"/>
      <c r="E422" s="36"/>
      <c r="F422" s="24"/>
      <c r="G422" s="25"/>
      <c r="H422" s="2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6"/>
      <c r="D423" s="35"/>
      <c r="E423" s="36"/>
      <c r="F423" s="24"/>
      <c r="G423" s="25"/>
      <c r="H423" s="2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6"/>
      <c r="D424" s="35"/>
      <c r="E424" s="36"/>
      <c r="F424" s="24"/>
      <c r="G424" s="25"/>
      <c r="H424" s="2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6"/>
      <c r="D425" s="35"/>
      <c r="E425" s="36"/>
      <c r="F425" s="24"/>
      <c r="G425" s="25"/>
      <c r="H425" s="2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6"/>
      <c r="D426" s="35"/>
      <c r="E426" s="36"/>
      <c r="F426" s="24"/>
      <c r="G426" s="25"/>
      <c r="H426" s="2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6"/>
      <c r="D427" s="35"/>
      <c r="E427" s="36"/>
      <c r="F427" s="24"/>
      <c r="G427" s="25"/>
      <c r="H427" s="2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6"/>
      <c r="D428" s="35"/>
      <c r="E428" s="36"/>
      <c r="F428" s="24"/>
      <c r="G428" s="25"/>
      <c r="H428" s="2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6"/>
      <c r="D429" s="35"/>
      <c r="E429" s="36"/>
      <c r="F429" s="24"/>
      <c r="G429" s="25"/>
      <c r="H429" s="2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6"/>
      <c r="D430" s="35"/>
      <c r="E430" s="36"/>
      <c r="F430" s="24"/>
      <c r="G430" s="25"/>
      <c r="H430" s="2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6"/>
      <c r="D431" s="35"/>
      <c r="E431" s="36"/>
      <c r="F431" s="24"/>
      <c r="G431" s="25"/>
      <c r="H431" s="2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6"/>
      <c r="D432" s="35"/>
      <c r="E432" s="36"/>
      <c r="F432" s="24"/>
      <c r="G432" s="25"/>
      <c r="H432" s="2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6"/>
      <c r="D433" s="35"/>
      <c r="E433" s="36"/>
      <c r="F433" s="24"/>
      <c r="G433" s="25"/>
      <c r="H433" s="2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6"/>
      <c r="D434" s="35"/>
      <c r="E434" s="36"/>
      <c r="F434" s="24"/>
      <c r="G434" s="25"/>
      <c r="H434" s="2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6"/>
      <c r="D435" s="35"/>
      <c r="E435" s="36"/>
      <c r="F435" s="24"/>
      <c r="G435" s="25"/>
      <c r="H435" s="2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6"/>
      <c r="D436" s="35"/>
      <c r="E436" s="36"/>
      <c r="F436" s="24"/>
      <c r="G436" s="25"/>
      <c r="H436" s="2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6"/>
      <c r="D437" s="35"/>
      <c r="E437" s="36"/>
      <c r="F437" s="24"/>
      <c r="G437" s="25"/>
      <c r="H437" s="2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6"/>
      <c r="D438" s="35"/>
      <c r="E438" s="36"/>
      <c r="F438" s="24"/>
      <c r="G438" s="25"/>
      <c r="H438" s="2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6"/>
      <c r="D439" s="35"/>
      <c r="E439" s="36"/>
      <c r="F439" s="24"/>
      <c r="G439" s="25"/>
      <c r="H439" s="2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6"/>
      <c r="D440" s="35"/>
      <c r="E440" s="36"/>
      <c r="F440" s="24"/>
      <c r="G440" s="25"/>
      <c r="H440" s="2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6"/>
      <c r="D441" s="35"/>
      <c r="E441" s="36"/>
      <c r="F441" s="24"/>
      <c r="G441" s="25"/>
      <c r="H441" s="2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6"/>
      <c r="D442" s="35"/>
      <c r="E442" s="36"/>
      <c r="F442" s="24"/>
      <c r="G442" s="25"/>
      <c r="H442" s="2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6"/>
      <c r="D443" s="35"/>
      <c r="E443" s="36"/>
      <c r="F443" s="24"/>
      <c r="G443" s="25"/>
      <c r="H443" s="2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6"/>
      <c r="D444" s="35"/>
      <c r="E444" s="36"/>
      <c r="F444" s="24"/>
      <c r="G444" s="25"/>
      <c r="H444" s="2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6"/>
      <c r="D445" s="35"/>
      <c r="E445" s="36"/>
      <c r="F445" s="24"/>
      <c r="G445" s="25"/>
      <c r="H445" s="2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6"/>
      <c r="D446" s="35"/>
      <c r="E446" s="36"/>
      <c r="F446" s="24"/>
      <c r="G446" s="25"/>
      <c r="H446" s="2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6"/>
      <c r="D447" s="35"/>
      <c r="E447" s="36"/>
      <c r="F447" s="24"/>
      <c r="G447" s="25"/>
      <c r="H447" s="2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6"/>
      <c r="D448" s="35"/>
      <c r="E448" s="36"/>
      <c r="F448" s="24"/>
      <c r="G448" s="25"/>
      <c r="H448" s="2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6"/>
      <c r="D449" s="35"/>
      <c r="E449" s="36"/>
      <c r="F449" s="24"/>
      <c r="G449" s="25"/>
      <c r="H449" s="2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6"/>
      <c r="D450" s="35"/>
      <c r="E450" s="36"/>
      <c r="F450" s="24"/>
      <c r="G450" s="25"/>
      <c r="H450" s="2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6"/>
      <c r="D451" s="35"/>
      <c r="E451" s="36"/>
      <c r="F451" s="24"/>
      <c r="G451" s="25"/>
      <c r="H451" s="2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6"/>
      <c r="D452" s="35"/>
      <c r="E452" s="36"/>
      <c r="F452" s="24"/>
      <c r="G452" s="25"/>
      <c r="H452" s="2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6"/>
      <c r="D453" s="35"/>
      <c r="E453" s="36"/>
      <c r="F453" s="24"/>
      <c r="G453" s="25"/>
      <c r="H453" s="2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6"/>
      <c r="D454" s="35"/>
      <c r="E454" s="36"/>
      <c r="F454" s="24"/>
      <c r="G454" s="25"/>
      <c r="H454" s="2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6"/>
      <c r="D455" s="35"/>
      <c r="E455" s="36"/>
      <c r="F455" s="24"/>
      <c r="G455" s="25"/>
      <c r="H455" s="2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6"/>
      <c r="D456" s="35"/>
      <c r="E456" s="36"/>
      <c r="F456" s="24"/>
      <c r="G456" s="25"/>
      <c r="H456" s="2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6"/>
      <c r="D457" s="35"/>
      <c r="E457" s="36"/>
      <c r="F457" s="24"/>
      <c r="G457" s="25"/>
      <c r="H457" s="2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6"/>
      <c r="D458" s="35"/>
      <c r="E458" s="36"/>
      <c r="F458" s="24"/>
      <c r="G458" s="25"/>
      <c r="H458" s="2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6"/>
      <c r="D459" s="35"/>
      <c r="E459" s="36"/>
      <c r="F459" s="24"/>
      <c r="G459" s="25"/>
      <c r="H459" s="2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6"/>
      <c r="D460" s="35"/>
      <c r="E460" s="36"/>
      <c r="F460" s="24"/>
      <c r="G460" s="25"/>
      <c r="H460" s="2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6"/>
      <c r="D461" s="35"/>
      <c r="E461" s="36"/>
      <c r="F461" s="24"/>
      <c r="G461" s="25"/>
      <c r="H461" s="2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6"/>
      <c r="D462" s="35"/>
      <c r="E462" s="36"/>
      <c r="F462" s="24"/>
      <c r="G462" s="25"/>
      <c r="H462" s="2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6"/>
      <c r="D463" s="35"/>
      <c r="E463" s="36"/>
      <c r="F463" s="24"/>
      <c r="G463" s="25"/>
      <c r="H463" s="2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6"/>
      <c r="D464" s="35"/>
      <c r="E464" s="36"/>
      <c r="F464" s="24"/>
      <c r="G464" s="25"/>
      <c r="H464" s="2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6"/>
      <c r="D465" s="35"/>
      <c r="E465" s="36"/>
      <c r="F465" s="24"/>
      <c r="G465" s="25"/>
      <c r="H465" s="2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6"/>
      <c r="D466" s="35"/>
      <c r="E466" s="36"/>
      <c r="F466" s="24"/>
      <c r="G466" s="25"/>
      <c r="H466" s="2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6"/>
      <c r="D467" s="35"/>
      <c r="E467" s="36"/>
      <c r="F467" s="24"/>
      <c r="G467" s="25"/>
      <c r="H467" s="2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6"/>
      <c r="D468" s="35"/>
      <c r="E468" s="36"/>
      <c r="F468" s="24"/>
      <c r="G468" s="25"/>
      <c r="H468" s="2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6"/>
      <c r="D469" s="35"/>
      <c r="E469" s="36"/>
      <c r="F469" s="24"/>
      <c r="G469" s="25"/>
      <c r="H469" s="2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6"/>
      <c r="D470" s="35"/>
      <c r="E470" s="36"/>
      <c r="F470" s="24"/>
      <c r="G470" s="25"/>
      <c r="H470" s="2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6"/>
      <c r="D471" s="35"/>
      <c r="E471" s="36"/>
      <c r="F471" s="24"/>
      <c r="G471" s="25"/>
      <c r="H471" s="2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6"/>
      <c r="D472" s="35"/>
      <c r="E472" s="36"/>
      <c r="F472" s="24"/>
      <c r="G472" s="25"/>
      <c r="H472" s="2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6"/>
      <c r="D473" s="35"/>
      <c r="E473" s="36"/>
      <c r="F473" s="24"/>
      <c r="G473" s="25"/>
      <c r="H473" s="2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6"/>
      <c r="D474" s="35"/>
      <c r="E474" s="36"/>
      <c r="F474" s="24"/>
      <c r="G474" s="25"/>
      <c r="H474" s="2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6"/>
      <c r="D475" s="35"/>
      <c r="E475" s="36"/>
      <c r="F475" s="24"/>
      <c r="G475" s="25"/>
      <c r="H475" s="2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6"/>
      <c r="D476" s="35"/>
      <c r="E476" s="36"/>
      <c r="F476" s="24"/>
      <c r="G476" s="25"/>
      <c r="H476" s="2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6"/>
      <c r="D477" s="35"/>
      <c r="E477" s="36"/>
      <c r="F477" s="24"/>
      <c r="G477" s="25"/>
      <c r="H477" s="2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6"/>
      <c r="D478" s="35"/>
      <c r="E478" s="36"/>
      <c r="F478" s="24"/>
      <c r="G478" s="25"/>
      <c r="H478" s="2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6"/>
      <c r="D479" s="35"/>
      <c r="E479" s="36"/>
      <c r="F479" s="24"/>
      <c r="G479" s="25"/>
      <c r="H479" s="2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6"/>
      <c r="D480" s="35"/>
      <c r="E480" s="36"/>
      <c r="F480" s="24"/>
      <c r="G480" s="25"/>
      <c r="H480" s="2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6"/>
      <c r="D481" s="35"/>
      <c r="E481" s="36"/>
      <c r="F481" s="24"/>
      <c r="G481" s="25"/>
      <c r="H481" s="2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6"/>
      <c r="D482" s="35"/>
      <c r="E482" s="36"/>
      <c r="F482" s="24"/>
      <c r="G482" s="25"/>
      <c r="H482" s="2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6"/>
      <c r="D483" s="35"/>
      <c r="E483" s="36"/>
      <c r="F483" s="24"/>
      <c r="G483" s="25"/>
      <c r="H483" s="2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6"/>
      <c r="D484" s="35"/>
      <c r="E484" s="36"/>
      <c r="F484" s="24"/>
      <c r="G484" s="25"/>
      <c r="H484" s="2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6"/>
      <c r="D485" s="35"/>
      <c r="E485" s="36"/>
      <c r="F485" s="24"/>
      <c r="G485" s="25"/>
      <c r="H485" s="2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6"/>
      <c r="D486" s="35"/>
      <c r="E486" s="36"/>
      <c r="F486" s="24"/>
      <c r="G486" s="25"/>
      <c r="H486" s="2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6"/>
      <c r="D487" s="35"/>
      <c r="E487" s="36"/>
      <c r="F487" s="24"/>
      <c r="G487" s="25"/>
      <c r="H487" s="2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6"/>
      <c r="D488" s="35"/>
      <c r="E488" s="36"/>
      <c r="F488" s="24"/>
      <c r="G488" s="25"/>
      <c r="H488" s="2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6"/>
      <c r="D489" s="35"/>
      <c r="E489" s="36"/>
      <c r="F489" s="24"/>
      <c r="G489" s="25"/>
      <c r="H489" s="2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6"/>
      <c r="D490" s="35"/>
      <c r="E490" s="36"/>
      <c r="F490" s="24"/>
      <c r="G490" s="25"/>
      <c r="H490" s="2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6"/>
      <c r="D491" s="35"/>
      <c r="E491" s="36"/>
      <c r="F491" s="24"/>
      <c r="G491" s="25"/>
      <c r="H491" s="2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6"/>
      <c r="D492" s="35"/>
      <c r="E492" s="36"/>
      <c r="F492" s="24"/>
      <c r="G492" s="25"/>
      <c r="H492" s="2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6"/>
      <c r="D493" s="35"/>
      <c r="E493" s="36"/>
      <c r="F493" s="24"/>
      <c r="G493" s="25"/>
      <c r="H493" s="2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6"/>
      <c r="D494" s="35"/>
      <c r="E494" s="36"/>
      <c r="F494" s="24"/>
      <c r="G494" s="25"/>
      <c r="H494" s="2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6"/>
      <c r="D495" s="35"/>
      <c r="E495" s="36"/>
      <c r="F495" s="24"/>
      <c r="G495" s="25"/>
      <c r="H495" s="2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6"/>
      <c r="D496" s="35"/>
      <c r="E496" s="36"/>
      <c r="F496" s="24"/>
      <c r="G496" s="25"/>
      <c r="H496" s="2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6"/>
      <c r="D497" s="35"/>
      <c r="E497" s="36"/>
      <c r="F497" s="24"/>
      <c r="G497" s="25"/>
      <c r="H497" s="2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6"/>
      <c r="D498" s="35"/>
      <c r="E498" s="36"/>
      <c r="F498" s="24"/>
      <c r="G498" s="25"/>
      <c r="H498" s="2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6"/>
      <c r="D499" s="35"/>
      <c r="E499" s="36"/>
      <c r="F499" s="24"/>
      <c r="G499" s="25"/>
      <c r="H499" s="2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6"/>
      <c r="D500" s="35"/>
      <c r="E500" s="36"/>
      <c r="F500" s="24"/>
      <c r="G500" s="25"/>
      <c r="H500" s="2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6"/>
      <c r="D501" s="35"/>
      <c r="E501" s="36"/>
      <c r="F501" s="24"/>
      <c r="G501" s="25"/>
      <c r="H501" s="2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6"/>
      <c r="D502" s="35"/>
      <c r="E502" s="36"/>
      <c r="F502" s="24"/>
      <c r="G502" s="25"/>
      <c r="H502" s="2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6"/>
      <c r="D503" s="35"/>
      <c r="E503" s="36"/>
      <c r="F503" s="24"/>
      <c r="G503" s="25"/>
      <c r="H503" s="2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6"/>
      <c r="D504" s="35"/>
      <c r="E504" s="36"/>
      <c r="F504" s="24"/>
      <c r="G504" s="25"/>
      <c r="H504" s="2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6"/>
      <c r="D505" s="35"/>
      <c r="E505" s="36"/>
      <c r="F505" s="24"/>
      <c r="G505" s="25"/>
      <c r="H505" s="2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6"/>
      <c r="D506" s="35"/>
      <c r="E506" s="36"/>
      <c r="F506" s="24"/>
      <c r="G506" s="25"/>
      <c r="H506" s="2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6"/>
      <c r="D507" s="35"/>
      <c r="E507" s="36"/>
      <c r="F507" s="24"/>
      <c r="G507" s="25"/>
      <c r="H507" s="2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6"/>
      <c r="D508" s="35"/>
      <c r="E508" s="36"/>
      <c r="F508" s="24"/>
      <c r="G508" s="25"/>
      <c r="H508" s="2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6"/>
      <c r="D509" s="35"/>
      <c r="E509" s="36"/>
      <c r="F509" s="24"/>
      <c r="G509" s="25"/>
      <c r="H509" s="2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6"/>
      <c r="D510" s="35"/>
      <c r="E510" s="36"/>
      <c r="F510" s="24"/>
      <c r="G510" s="25"/>
      <c r="H510" s="2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6"/>
      <c r="D511" s="35"/>
      <c r="E511" s="36"/>
      <c r="F511" s="24"/>
      <c r="G511" s="25"/>
      <c r="H511" s="2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6"/>
      <c r="D512" s="35"/>
      <c r="E512" s="36"/>
      <c r="F512" s="24"/>
      <c r="G512" s="25"/>
      <c r="H512" s="2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6"/>
      <c r="D513" s="35"/>
      <c r="E513" s="36"/>
      <c r="F513" s="24"/>
      <c r="G513" s="25"/>
      <c r="H513" s="2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6"/>
      <c r="D514" s="35"/>
      <c r="E514" s="36"/>
      <c r="F514" s="24"/>
      <c r="G514" s="25"/>
      <c r="H514" s="2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6"/>
      <c r="D515" s="35"/>
      <c r="E515" s="36"/>
      <c r="F515" s="24"/>
      <c r="G515" s="25"/>
      <c r="H515" s="2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6"/>
      <c r="D516" s="35"/>
      <c r="E516" s="36"/>
      <c r="F516" s="24"/>
      <c r="G516" s="25"/>
      <c r="H516" s="2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6"/>
      <c r="D517" s="35"/>
      <c r="E517" s="36"/>
      <c r="F517" s="24"/>
      <c r="G517" s="25"/>
      <c r="H517" s="2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6"/>
      <c r="D518" s="35"/>
      <c r="E518" s="36"/>
      <c r="F518" s="24"/>
      <c r="G518" s="25"/>
      <c r="H518" s="2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6"/>
      <c r="D519" s="35"/>
      <c r="E519" s="36"/>
      <c r="F519" s="24"/>
      <c r="G519" s="25"/>
      <c r="H519" s="2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6"/>
      <c r="D520" s="35"/>
      <c r="E520" s="36"/>
      <c r="F520" s="24"/>
      <c r="G520" s="25"/>
      <c r="H520" s="2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6"/>
      <c r="D521" s="35"/>
      <c r="E521" s="36"/>
      <c r="F521" s="24"/>
      <c r="G521" s="25"/>
      <c r="H521" s="2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6"/>
      <c r="D522" s="35"/>
      <c r="E522" s="36"/>
      <c r="F522" s="24"/>
      <c r="G522" s="25"/>
      <c r="H522" s="2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6"/>
      <c r="D523" s="35"/>
      <c r="E523" s="36"/>
      <c r="F523" s="24"/>
      <c r="G523" s="25"/>
      <c r="H523" s="2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6"/>
      <c r="D524" s="35"/>
      <c r="E524" s="36"/>
      <c r="F524" s="24"/>
      <c r="G524" s="25"/>
      <c r="H524" s="2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6"/>
      <c r="D525" s="35"/>
      <c r="E525" s="36"/>
      <c r="F525" s="24"/>
      <c r="G525" s="25"/>
      <c r="H525" s="2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6"/>
      <c r="D526" s="35"/>
      <c r="E526" s="36"/>
      <c r="F526" s="24"/>
      <c r="G526" s="25"/>
      <c r="H526" s="2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6"/>
      <c r="D527" s="35"/>
      <c r="E527" s="36"/>
      <c r="F527" s="24"/>
      <c r="G527" s="25"/>
      <c r="H527" s="2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35"/>
      <c r="E528" s="36"/>
      <c r="F528" s="24"/>
      <c r="G528" s="25"/>
      <c r="H528" s="2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35"/>
      <c r="E529" s="36"/>
      <c r="F529" s="24"/>
      <c r="G529" s="25"/>
      <c r="H529" s="2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35"/>
      <c r="E530" s="36"/>
      <c r="F530" s="24"/>
      <c r="G530" s="25"/>
      <c r="H530" s="2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35"/>
      <c r="E531" s="36"/>
      <c r="F531" s="24"/>
      <c r="G531" s="25"/>
      <c r="H531" s="2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35"/>
      <c r="E532" s="36"/>
      <c r="F532" s="24"/>
      <c r="G532" s="25"/>
      <c r="H532" s="2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35"/>
      <c r="E533" s="36"/>
      <c r="F533" s="24"/>
      <c r="G533" s="25"/>
      <c r="H533" s="2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35"/>
      <c r="E534" s="36"/>
      <c r="F534" s="24"/>
      <c r="G534" s="25"/>
      <c r="H534" s="2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35"/>
      <c r="E535" s="36"/>
      <c r="F535" s="24"/>
      <c r="G535" s="25"/>
      <c r="H535" s="2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35"/>
      <c r="E536" s="36"/>
      <c r="F536" s="24"/>
      <c r="G536" s="25"/>
      <c r="H536" s="2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35"/>
      <c r="E537" s="36"/>
      <c r="F537" s="24"/>
      <c r="G537" s="25"/>
      <c r="H537" s="2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35"/>
      <c r="E538" s="36"/>
      <c r="F538" s="24"/>
      <c r="G538" s="25"/>
      <c r="H538" s="2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35"/>
      <c r="E539" s="36"/>
      <c r="F539" s="24"/>
      <c r="G539" s="25"/>
      <c r="H539" s="2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35"/>
      <c r="E540" s="36"/>
      <c r="F540" s="24"/>
      <c r="G540" s="25"/>
      <c r="H540" s="2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35"/>
      <c r="E541" s="36"/>
      <c r="F541" s="24"/>
      <c r="G541" s="25"/>
      <c r="H541" s="2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35"/>
      <c r="E542" s="36"/>
      <c r="F542" s="24"/>
      <c r="G542" s="25"/>
      <c r="H542" s="2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35"/>
      <c r="E543" s="36"/>
      <c r="F543" s="24"/>
      <c r="G543" s="25"/>
      <c r="H543" s="2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35"/>
      <c r="E544" s="36"/>
      <c r="F544" s="24"/>
      <c r="G544" s="25"/>
      <c r="H544" s="2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35"/>
      <c r="E545" s="36"/>
      <c r="F545" s="24"/>
      <c r="G545" s="25"/>
      <c r="H545" s="2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35"/>
      <c r="E546" s="36"/>
      <c r="F546" s="24"/>
      <c r="G546" s="25"/>
      <c r="H546" s="2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35"/>
      <c r="E547" s="36"/>
      <c r="F547" s="24"/>
      <c r="G547" s="25"/>
      <c r="H547" s="2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35"/>
      <c r="E548" s="36"/>
      <c r="F548" s="24"/>
      <c r="G548" s="25"/>
      <c r="H548" s="2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35"/>
      <c r="E549" s="36"/>
      <c r="F549" s="24"/>
      <c r="G549" s="25"/>
      <c r="H549" s="2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35"/>
      <c r="E550" s="36"/>
      <c r="F550" s="24"/>
      <c r="G550" s="25"/>
      <c r="H550" s="2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35"/>
      <c r="E551" s="36"/>
      <c r="F551" s="24"/>
      <c r="G551" s="25"/>
      <c r="H551" s="2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35"/>
      <c r="E552" s="36"/>
      <c r="F552" s="24"/>
      <c r="G552" s="25"/>
      <c r="H552" s="2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35"/>
      <c r="E553" s="36"/>
      <c r="F553" s="24"/>
      <c r="G553" s="25"/>
      <c r="H553" s="2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35"/>
      <c r="E554" s="36"/>
      <c r="F554" s="24"/>
      <c r="G554" s="25"/>
      <c r="H554" s="2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35"/>
      <c r="E555" s="36"/>
      <c r="F555" s="24"/>
      <c r="G555" s="25"/>
      <c r="H555" s="2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35"/>
      <c r="E556" s="36"/>
      <c r="F556" s="24"/>
      <c r="G556" s="25"/>
      <c r="H556" s="2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35"/>
      <c r="E557" s="36"/>
      <c r="F557" s="24"/>
      <c r="G557" s="25"/>
      <c r="H557" s="2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35"/>
      <c r="E558" s="36"/>
      <c r="F558" s="24"/>
      <c r="G558" s="25"/>
      <c r="H558" s="2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35"/>
      <c r="E559" s="36"/>
      <c r="F559" s="24"/>
      <c r="G559" s="25"/>
      <c r="H559" s="2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35"/>
      <c r="E560" s="36"/>
      <c r="F560" s="24"/>
      <c r="G560" s="25"/>
      <c r="H560" s="2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35"/>
      <c r="E561" s="36"/>
      <c r="F561" s="24"/>
      <c r="G561" s="25"/>
      <c r="H561" s="2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35"/>
      <c r="E562" s="36"/>
      <c r="F562" s="24"/>
      <c r="G562" s="25"/>
      <c r="H562" s="2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35"/>
      <c r="E563" s="36"/>
      <c r="F563" s="24"/>
      <c r="G563" s="25"/>
      <c r="H563" s="2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35"/>
      <c r="E564" s="36"/>
      <c r="F564" s="24"/>
      <c r="G564" s="25"/>
      <c r="H564" s="2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35"/>
      <c r="E565" s="36"/>
      <c r="F565" s="24"/>
      <c r="G565" s="25"/>
      <c r="H565" s="2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35"/>
      <c r="E566" s="36"/>
      <c r="F566" s="24"/>
      <c r="G566" s="25"/>
      <c r="H566" s="2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35"/>
      <c r="E567" s="36"/>
      <c r="F567" s="24"/>
      <c r="G567" s="25"/>
      <c r="H567" s="2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35"/>
      <c r="E568" s="36"/>
      <c r="F568" s="24"/>
      <c r="G568" s="25"/>
      <c r="H568" s="2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35"/>
      <c r="E569" s="36"/>
      <c r="F569" s="24"/>
      <c r="G569" s="25"/>
      <c r="H569" s="2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35"/>
      <c r="E570" s="36"/>
      <c r="F570" s="24"/>
      <c r="G570" s="25"/>
      <c r="H570" s="2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35"/>
      <c r="E571" s="36"/>
      <c r="F571" s="24"/>
      <c r="G571" s="25"/>
      <c r="H571" s="2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35"/>
      <c r="E572" s="36"/>
      <c r="F572" s="24"/>
      <c r="G572" s="25"/>
      <c r="H572" s="2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35"/>
      <c r="E573" s="36"/>
      <c r="F573" s="24"/>
      <c r="G573" s="25"/>
      <c r="H573" s="2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35"/>
      <c r="E574" s="36"/>
      <c r="F574" s="24"/>
      <c r="G574" s="25"/>
      <c r="H574" s="2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35"/>
      <c r="E575" s="36"/>
      <c r="F575" s="24"/>
      <c r="G575" s="25"/>
      <c r="H575" s="2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35"/>
      <c r="E576" s="36"/>
      <c r="F576" s="24"/>
      <c r="G576" s="25"/>
      <c r="H576" s="2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35"/>
      <c r="E577" s="36"/>
      <c r="F577" s="24"/>
      <c r="G577" s="25"/>
      <c r="H577" s="2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35"/>
      <c r="E578" s="36"/>
      <c r="F578" s="24"/>
      <c r="G578" s="25"/>
      <c r="H578" s="2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35"/>
      <c r="E579" s="36"/>
      <c r="F579" s="24"/>
      <c r="G579" s="25"/>
      <c r="H579" s="2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35"/>
      <c r="E580" s="36"/>
      <c r="F580" s="24"/>
      <c r="G580" s="25"/>
      <c r="H580" s="2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35"/>
      <c r="E581" s="36"/>
      <c r="F581" s="24"/>
      <c r="G581" s="25"/>
      <c r="H581" s="2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35"/>
      <c r="E582" s="36"/>
      <c r="F582" s="24"/>
      <c r="G582" s="25"/>
      <c r="H582" s="2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35"/>
      <c r="E583" s="36"/>
      <c r="F583" s="24"/>
      <c r="G583" s="25"/>
      <c r="H583" s="2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35"/>
      <c r="E584" s="36"/>
      <c r="F584" s="24"/>
      <c r="G584" s="25"/>
      <c r="H584" s="2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35"/>
      <c r="E585" s="36"/>
      <c r="F585" s="24"/>
      <c r="G585" s="25"/>
      <c r="H585" s="2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35"/>
      <c r="E586" s="36"/>
      <c r="F586" s="24"/>
      <c r="G586" s="25"/>
      <c r="H586" s="2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35"/>
      <c r="E587" s="36"/>
      <c r="F587" s="24"/>
      <c r="G587" s="25"/>
      <c r="H587" s="2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35"/>
      <c r="E588" s="36"/>
      <c r="F588" s="24"/>
      <c r="G588" s="25"/>
      <c r="H588" s="2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35"/>
      <c r="E589" s="36"/>
      <c r="F589" s="24"/>
      <c r="G589" s="25"/>
      <c r="H589" s="2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35"/>
      <c r="E590" s="36"/>
      <c r="F590" s="24"/>
      <c r="G590" s="25"/>
      <c r="H590" s="2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35"/>
      <c r="E591" s="36"/>
      <c r="F591" s="24"/>
      <c r="G591" s="25"/>
      <c r="H591" s="2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35"/>
      <c r="E592" s="36"/>
      <c r="F592" s="24"/>
      <c r="G592" s="25"/>
      <c r="H592" s="2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35"/>
      <c r="E593" s="36"/>
      <c r="F593" s="24"/>
      <c r="G593" s="25"/>
      <c r="H593" s="2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35"/>
      <c r="E594" s="36"/>
      <c r="F594" s="24"/>
      <c r="G594" s="25"/>
      <c r="H594" s="2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35"/>
      <c r="E595" s="36"/>
      <c r="F595" s="24"/>
      <c r="G595" s="25"/>
      <c r="H595" s="2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35"/>
      <c r="E596" s="36"/>
      <c r="F596" s="24"/>
      <c r="G596" s="25"/>
      <c r="H596" s="2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35"/>
      <c r="E597" s="36"/>
      <c r="F597" s="24"/>
      <c r="G597" s="25"/>
      <c r="H597" s="2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35"/>
      <c r="E598" s="36"/>
      <c r="F598" s="24"/>
      <c r="G598" s="25"/>
      <c r="H598" s="2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35"/>
      <c r="E599" s="36"/>
      <c r="F599" s="24"/>
      <c r="G599" s="25"/>
      <c r="H599" s="2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35"/>
      <c r="E600" s="36"/>
      <c r="F600" s="24"/>
      <c r="G600" s="25"/>
      <c r="H600" s="2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35"/>
      <c r="E601" s="36"/>
      <c r="F601" s="24"/>
      <c r="G601" s="25"/>
      <c r="H601" s="2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35"/>
      <c r="E602" s="36"/>
      <c r="F602" s="24"/>
      <c r="G602" s="25"/>
      <c r="H602" s="2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35"/>
      <c r="E603" s="36"/>
      <c r="F603" s="24"/>
      <c r="G603" s="25"/>
      <c r="H603" s="2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35"/>
      <c r="E604" s="36"/>
      <c r="F604" s="24"/>
      <c r="G604" s="25"/>
      <c r="H604" s="2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35"/>
      <c r="E605" s="36"/>
      <c r="F605" s="24"/>
      <c r="G605" s="25"/>
      <c r="H605" s="2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35"/>
      <c r="E606" s="36"/>
      <c r="F606" s="24"/>
      <c r="G606" s="25"/>
      <c r="H606" s="2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35"/>
      <c r="E607" s="36"/>
      <c r="F607" s="24"/>
      <c r="G607" s="25"/>
      <c r="H607" s="2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35"/>
      <c r="E608" s="36"/>
      <c r="F608" s="24"/>
      <c r="G608" s="25"/>
      <c r="H608" s="2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35"/>
      <c r="E609" s="36"/>
      <c r="F609" s="24"/>
      <c r="G609" s="25"/>
      <c r="H609" s="2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35"/>
      <c r="E610" s="36"/>
      <c r="F610" s="24"/>
      <c r="G610" s="25"/>
      <c r="H610" s="2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35"/>
      <c r="E611" s="36"/>
      <c r="F611" s="24"/>
      <c r="G611" s="25"/>
      <c r="H611" s="2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35"/>
      <c r="E612" s="36"/>
      <c r="F612" s="24"/>
      <c r="G612" s="25"/>
      <c r="H612" s="2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35"/>
      <c r="E613" s="36"/>
      <c r="F613" s="24"/>
      <c r="G613" s="25"/>
      <c r="H613" s="2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35"/>
      <c r="E614" s="36"/>
      <c r="F614" s="24"/>
      <c r="G614" s="25"/>
      <c r="H614" s="2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35"/>
      <c r="E615" s="36"/>
      <c r="F615" s="24"/>
      <c r="G615" s="25"/>
      <c r="H615" s="2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35"/>
      <c r="E616" s="36"/>
      <c r="F616" s="24"/>
      <c r="G616" s="25"/>
      <c r="H616" s="2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35"/>
      <c r="E617" s="36"/>
      <c r="F617" s="24"/>
      <c r="G617" s="25"/>
      <c r="H617" s="2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35"/>
      <c r="E618" s="36"/>
      <c r="F618" s="24"/>
      <c r="G618" s="25"/>
      <c r="H618" s="2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35"/>
      <c r="E619" s="36"/>
      <c r="F619" s="24"/>
      <c r="G619" s="25"/>
      <c r="H619" s="2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35"/>
      <c r="E620" s="36"/>
      <c r="F620" s="24"/>
      <c r="G620" s="25"/>
      <c r="H620" s="2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35"/>
      <c r="E621" s="36"/>
      <c r="F621" s="24"/>
      <c r="G621" s="25"/>
      <c r="H621" s="2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35"/>
      <c r="E622" s="36"/>
      <c r="F622" s="24"/>
      <c r="G622" s="25"/>
      <c r="H622" s="2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35"/>
      <c r="E623" s="36"/>
      <c r="F623" s="24"/>
      <c r="G623" s="25"/>
      <c r="H623" s="2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35"/>
      <c r="E624" s="36"/>
      <c r="F624" s="24"/>
      <c r="G624" s="25"/>
      <c r="H624" s="2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35"/>
      <c r="E625" s="36"/>
      <c r="F625" s="24"/>
      <c r="G625" s="25"/>
      <c r="H625" s="2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35"/>
      <c r="E626" s="36"/>
      <c r="F626" s="24"/>
      <c r="G626" s="25"/>
      <c r="H626" s="2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35"/>
      <c r="E627" s="36"/>
      <c r="F627" s="24"/>
      <c r="G627" s="25"/>
      <c r="H627" s="2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35"/>
      <c r="E628" s="36"/>
      <c r="F628" s="24"/>
      <c r="G628" s="25"/>
      <c r="H628" s="2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35"/>
      <c r="E629" s="36"/>
      <c r="F629" s="24"/>
      <c r="G629" s="25"/>
      <c r="H629" s="2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35"/>
      <c r="E630" s="36"/>
      <c r="F630" s="24"/>
      <c r="G630" s="25"/>
      <c r="H630" s="2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35"/>
      <c r="E631" s="36"/>
      <c r="F631" s="24"/>
      <c r="G631" s="25"/>
      <c r="H631" s="2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35"/>
      <c r="E632" s="36"/>
      <c r="F632" s="24"/>
      <c r="G632" s="25"/>
      <c r="H632" s="2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35"/>
      <c r="E633" s="36"/>
      <c r="F633" s="24"/>
      <c r="G633" s="25"/>
      <c r="H633" s="2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35"/>
      <c r="E634" s="36"/>
      <c r="F634" s="24"/>
      <c r="G634" s="25"/>
      <c r="H634" s="2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35"/>
      <c r="E635" s="36"/>
      <c r="F635" s="24"/>
      <c r="G635" s="25"/>
      <c r="H635" s="2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35"/>
      <c r="E636" s="36"/>
      <c r="F636" s="24"/>
      <c r="G636" s="25"/>
      <c r="H636" s="2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35"/>
      <c r="E637" s="36"/>
      <c r="F637" s="24"/>
      <c r="G637" s="25"/>
      <c r="H637" s="2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35"/>
      <c r="E638" s="36"/>
      <c r="F638" s="24"/>
      <c r="G638" s="25"/>
      <c r="H638" s="2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35"/>
      <c r="E639" s="36"/>
      <c r="F639" s="24"/>
      <c r="G639" s="25"/>
      <c r="H639" s="2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35"/>
      <c r="E640" s="36"/>
      <c r="F640" s="24"/>
      <c r="G640" s="25"/>
      <c r="H640" s="2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35"/>
      <c r="E641" s="36"/>
      <c r="F641" s="24"/>
      <c r="G641" s="25"/>
      <c r="H641" s="2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35"/>
      <c r="E642" s="36"/>
      <c r="F642" s="24"/>
      <c r="G642" s="25"/>
      <c r="H642" s="2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35"/>
      <c r="E643" s="36"/>
      <c r="F643" s="24"/>
      <c r="G643" s="25"/>
      <c r="H643" s="2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35"/>
      <c r="E644" s="36"/>
      <c r="F644" s="24"/>
      <c r="G644" s="25"/>
      <c r="H644" s="2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35"/>
      <c r="E645" s="36"/>
      <c r="F645" s="24"/>
      <c r="G645" s="25"/>
      <c r="H645" s="2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35"/>
      <c r="E646" s="36"/>
      <c r="F646" s="24"/>
      <c r="G646" s="25"/>
      <c r="H646" s="2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35"/>
      <c r="E647" s="36"/>
      <c r="F647" s="24"/>
      <c r="G647" s="25"/>
      <c r="H647" s="2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35"/>
      <c r="E648" s="36"/>
      <c r="F648" s="24"/>
      <c r="G648" s="25"/>
      <c r="H648" s="2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35"/>
      <c r="E649" s="36"/>
      <c r="F649" s="24"/>
      <c r="G649" s="25"/>
      <c r="H649" s="2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35"/>
      <c r="E650" s="36"/>
      <c r="F650" s="24"/>
      <c r="G650" s="25"/>
      <c r="H650" s="2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35"/>
      <c r="E651" s="36"/>
      <c r="F651" s="24"/>
      <c r="G651" s="25"/>
      <c r="H651" s="2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35"/>
      <c r="E652" s="36"/>
      <c r="F652" s="24"/>
      <c r="G652" s="25"/>
      <c r="H652" s="2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35"/>
      <c r="E653" s="36"/>
      <c r="F653" s="24"/>
      <c r="G653" s="25"/>
      <c r="H653" s="2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35"/>
      <c r="E654" s="36"/>
      <c r="F654" s="24"/>
      <c r="G654" s="25"/>
      <c r="H654" s="2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35"/>
      <c r="E655" s="36"/>
      <c r="F655" s="24"/>
      <c r="G655" s="25"/>
      <c r="H655" s="2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35"/>
      <c r="E656" s="36"/>
      <c r="F656" s="24"/>
      <c r="G656" s="25"/>
      <c r="H656" s="2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35"/>
      <c r="E657" s="36"/>
      <c r="F657" s="24"/>
      <c r="G657" s="25"/>
      <c r="H657" s="2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35"/>
      <c r="E658" s="36"/>
      <c r="F658" s="24"/>
      <c r="G658" s="25"/>
      <c r="H658" s="2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35"/>
      <c r="E659" s="36"/>
      <c r="F659" s="24"/>
      <c r="G659" s="25"/>
      <c r="H659" s="2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35"/>
      <c r="E660" s="36"/>
      <c r="F660" s="24"/>
      <c r="G660" s="25"/>
      <c r="H660" s="2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35"/>
      <c r="E661" s="36"/>
      <c r="F661" s="24"/>
      <c r="G661" s="25"/>
      <c r="H661" s="2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35"/>
      <c r="E662" s="36"/>
      <c r="F662" s="24"/>
      <c r="G662" s="25"/>
      <c r="H662" s="2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35"/>
      <c r="E663" s="36"/>
      <c r="F663" s="24"/>
      <c r="G663" s="25"/>
      <c r="H663" s="2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35"/>
      <c r="E664" s="36"/>
      <c r="F664" s="24"/>
      <c r="G664" s="25"/>
      <c r="H664" s="2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35"/>
      <c r="E665" s="36"/>
      <c r="F665" s="24"/>
      <c r="G665" s="25"/>
      <c r="H665" s="2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35"/>
      <c r="E666" s="36"/>
      <c r="F666" s="24"/>
      <c r="G666" s="25"/>
      <c r="H666" s="2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35"/>
      <c r="E667" s="36"/>
      <c r="F667" s="24"/>
      <c r="G667" s="25"/>
      <c r="H667" s="2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35"/>
      <c r="E668" s="36"/>
      <c r="F668" s="24"/>
      <c r="G668" s="25"/>
      <c r="H668" s="2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35"/>
      <c r="E669" s="36"/>
      <c r="F669" s="24"/>
      <c r="G669" s="25"/>
      <c r="H669" s="2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35"/>
      <c r="E670" s="36"/>
      <c r="F670" s="24"/>
      <c r="G670" s="25"/>
      <c r="H670" s="2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35"/>
      <c r="E671" s="36"/>
      <c r="F671" s="24"/>
      <c r="G671" s="25"/>
      <c r="H671" s="2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35"/>
      <c r="E672" s="36"/>
      <c r="F672" s="24"/>
      <c r="G672" s="25"/>
      <c r="H672" s="2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35"/>
      <c r="E673" s="36"/>
      <c r="F673" s="24"/>
      <c r="G673" s="25"/>
      <c r="H673" s="2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35"/>
      <c r="E674" s="36"/>
      <c r="F674" s="24"/>
      <c r="G674" s="25"/>
      <c r="H674" s="2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35"/>
      <c r="E675" s="36"/>
      <c r="F675" s="24"/>
      <c r="G675" s="25"/>
      <c r="H675" s="2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35"/>
      <c r="E676" s="36"/>
      <c r="F676" s="24"/>
      <c r="G676" s="25"/>
      <c r="H676" s="2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35"/>
      <c r="E677" s="36"/>
      <c r="F677" s="24"/>
      <c r="G677" s="25"/>
      <c r="H677" s="2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35"/>
      <c r="E678" s="36"/>
      <c r="F678" s="24"/>
      <c r="G678" s="25"/>
      <c r="H678" s="2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35"/>
      <c r="E679" s="36"/>
      <c r="F679" s="24"/>
      <c r="G679" s="25"/>
      <c r="H679" s="2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35"/>
      <c r="E680" s="36"/>
      <c r="F680" s="24"/>
      <c r="G680" s="25"/>
      <c r="H680" s="2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35"/>
      <c r="E681" s="36"/>
      <c r="F681" s="24"/>
      <c r="G681" s="25"/>
      <c r="H681" s="2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35"/>
      <c r="E682" s="36"/>
      <c r="F682" s="24"/>
      <c r="G682" s="25"/>
      <c r="H682" s="2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35"/>
      <c r="E683" s="36"/>
      <c r="F683" s="24"/>
      <c r="G683" s="25"/>
      <c r="H683" s="2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35"/>
      <c r="E684" s="36"/>
      <c r="F684" s="24"/>
      <c r="G684" s="25"/>
      <c r="H684" s="2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35"/>
      <c r="E685" s="36"/>
      <c r="F685" s="24"/>
      <c r="G685" s="25"/>
      <c r="H685" s="2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35"/>
      <c r="E686" s="36"/>
      <c r="F686" s="24"/>
      <c r="G686" s="25"/>
      <c r="H686" s="2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35"/>
      <c r="E687" s="36"/>
      <c r="F687" s="24"/>
      <c r="G687" s="25"/>
      <c r="H687" s="2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35"/>
      <c r="E688" s="36"/>
      <c r="F688" s="24"/>
      <c r="G688" s="25"/>
      <c r="H688" s="2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35"/>
      <c r="E689" s="36"/>
      <c r="F689" s="24"/>
      <c r="G689" s="25"/>
      <c r="H689" s="2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35"/>
      <c r="E690" s="36"/>
      <c r="F690" s="24"/>
      <c r="G690" s="25"/>
      <c r="H690" s="2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35"/>
      <c r="E691" s="36"/>
      <c r="F691" s="24"/>
      <c r="G691" s="25"/>
      <c r="H691" s="2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35"/>
      <c r="E692" s="36"/>
      <c r="F692" s="24"/>
      <c r="G692" s="25"/>
      <c r="H692" s="2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35"/>
      <c r="E693" s="36"/>
      <c r="F693" s="24"/>
      <c r="G693" s="25"/>
      <c r="H693" s="2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35"/>
      <c r="E694" s="36"/>
      <c r="F694" s="24"/>
      <c r="G694" s="25"/>
      <c r="H694" s="2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35"/>
      <c r="E695" s="36"/>
      <c r="F695" s="24"/>
      <c r="G695" s="25"/>
      <c r="H695" s="2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35"/>
      <c r="E696" s="36"/>
      <c r="F696" s="24"/>
      <c r="G696" s="25"/>
      <c r="H696" s="2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35"/>
      <c r="E697" s="36"/>
      <c r="F697" s="24"/>
      <c r="G697" s="25"/>
      <c r="H697" s="2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35"/>
      <c r="E698" s="36"/>
      <c r="F698" s="24"/>
      <c r="G698" s="25"/>
      <c r="H698" s="2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35"/>
      <c r="E699" s="36"/>
      <c r="F699" s="24"/>
      <c r="G699" s="25"/>
      <c r="H699" s="2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35"/>
      <c r="E700" s="36"/>
      <c r="F700" s="24"/>
      <c r="G700" s="25"/>
      <c r="H700" s="2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35"/>
      <c r="E701" s="36"/>
      <c r="F701" s="24"/>
      <c r="G701" s="25"/>
      <c r="H701" s="2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35"/>
      <c r="E702" s="36"/>
      <c r="F702" s="24"/>
      <c r="G702" s="25"/>
      <c r="H702" s="2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35"/>
      <c r="E703" s="36"/>
      <c r="F703" s="24"/>
      <c r="G703" s="25"/>
      <c r="H703" s="2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35"/>
      <c r="E704" s="36"/>
      <c r="F704" s="24"/>
      <c r="G704" s="25"/>
      <c r="H704" s="2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35"/>
      <c r="E705" s="36"/>
      <c r="F705" s="24"/>
      <c r="G705" s="25"/>
      <c r="H705" s="2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35"/>
      <c r="E706" s="36"/>
      <c r="F706" s="24"/>
      <c r="G706" s="25"/>
      <c r="H706" s="2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35"/>
      <c r="E707" s="36"/>
      <c r="F707" s="24"/>
      <c r="G707" s="25"/>
      <c r="H707" s="2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35"/>
      <c r="E708" s="36"/>
      <c r="F708" s="24"/>
      <c r="G708" s="25"/>
      <c r="H708" s="2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35"/>
      <c r="E709" s="36"/>
      <c r="F709" s="24"/>
      <c r="G709" s="25"/>
      <c r="H709" s="2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35"/>
      <c r="E710" s="36"/>
      <c r="F710" s="24"/>
      <c r="G710" s="25"/>
      <c r="H710" s="2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35"/>
      <c r="E711" s="36"/>
      <c r="F711" s="24"/>
      <c r="G711" s="25"/>
      <c r="H711" s="2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35"/>
      <c r="E712" s="36"/>
      <c r="F712" s="24"/>
      <c r="G712" s="25"/>
      <c r="H712" s="2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35"/>
      <c r="E713" s="36"/>
      <c r="F713" s="24"/>
      <c r="G713" s="25"/>
      <c r="H713" s="2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35"/>
      <c r="E714" s="36"/>
      <c r="F714" s="24"/>
      <c r="G714" s="25"/>
      <c r="H714" s="2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35"/>
      <c r="E715" s="36"/>
      <c r="F715" s="24"/>
      <c r="G715" s="25"/>
      <c r="H715" s="2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35"/>
      <c r="E716" s="36"/>
      <c r="F716" s="24"/>
      <c r="G716" s="25"/>
      <c r="H716" s="2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35"/>
      <c r="E717" s="36"/>
      <c r="F717" s="24"/>
      <c r="G717" s="25"/>
      <c r="H717" s="2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35"/>
      <c r="E718" s="36"/>
      <c r="F718" s="24"/>
      <c r="G718" s="25"/>
      <c r="H718" s="2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35"/>
      <c r="E719" s="36"/>
      <c r="F719" s="24"/>
      <c r="G719" s="25"/>
      <c r="H719" s="2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35"/>
      <c r="E720" s="36"/>
      <c r="F720" s="24"/>
      <c r="G720" s="25"/>
      <c r="H720" s="2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35"/>
      <c r="E721" s="36"/>
      <c r="F721" s="24"/>
      <c r="G721" s="25"/>
      <c r="H721" s="2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35"/>
      <c r="E722" s="36"/>
      <c r="F722" s="24"/>
      <c r="G722" s="25"/>
      <c r="H722" s="2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35"/>
      <c r="E723" s="36"/>
      <c r="F723" s="24"/>
      <c r="G723" s="25"/>
      <c r="H723" s="2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35"/>
      <c r="E724" s="36"/>
      <c r="F724" s="24"/>
      <c r="G724" s="25"/>
      <c r="H724" s="2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35"/>
      <c r="E725" s="36"/>
      <c r="F725" s="24"/>
      <c r="G725" s="25"/>
      <c r="H725" s="2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35"/>
      <c r="E726" s="36"/>
      <c r="F726" s="24"/>
      <c r="G726" s="25"/>
      <c r="H726" s="2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35"/>
      <c r="E727" s="36"/>
      <c r="F727" s="24"/>
      <c r="G727" s="25"/>
      <c r="H727" s="2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35"/>
      <c r="E728" s="36"/>
      <c r="F728" s="24"/>
      <c r="G728" s="25"/>
      <c r="H728" s="2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35"/>
      <c r="E729" s="36"/>
      <c r="F729" s="24"/>
      <c r="G729" s="25"/>
      <c r="H729" s="2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35"/>
      <c r="E730" s="36"/>
      <c r="F730" s="24"/>
      <c r="G730" s="25"/>
      <c r="H730" s="2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35"/>
      <c r="E731" s="36"/>
      <c r="F731" s="24"/>
      <c r="G731" s="25"/>
      <c r="H731" s="2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35"/>
      <c r="E732" s="36"/>
      <c r="F732" s="24"/>
      <c r="G732" s="25"/>
      <c r="H732" s="2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35"/>
      <c r="E733" s="36"/>
      <c r="F733" s="24"/>
      <c r="G733" s="25"/>
      <c r="H733" s="2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35"/>
      <c r="E734" s="36"/>
      <c r="F734" s="24"/>
      <c r="G734" s="25"/>
      <c r="H734" s="2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35"/>
      <c r="E735" s="36"/>
      <c r="F735" s="24"/>
      <c r="G735" s="25"/>
      <c r="H735" s="2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35"/>
      <c r="E736" s="36"/>
      <c r="F736" s="24"/>
      <c r="G736" s="25"/>
      <c r="H736" s="2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35"/>
      <c r="E737" s="36"/>
      <c r="F737" s="24"/>
      <c r="G737" s="25"/>
      <c r="H737" s="2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35"/>
      <c r="E738" s="36"/>
      <c r="F738" s="24"/>
      <c r="G738" s="25"/>
      <c r="H738" s="2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35"/>
      <c r="E739" s="36"/>
      <c r="F739" s="24"/>
      <c r="G739" s="25"/>
      <c r="H739" s="2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35"/>
      <c r="E740" s="36"/>
      <c r="F740" s="24"/>
      <c r="G740" s="25"/>
      <c r="H740" s="2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35"/>
      <c r="E741" s="36"/>
      <c r="F741" s="24"/>
      <c r="G741" s="25"/>
      <c r="H741" s="2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35"/>
      <c r="E742" s="36"/>
      <c r="F742" s="24"/>
      <c r="G742" s="25"/>
      <c r="H742" s="2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35"/>
      <c r="E743" s="36"/>
      <c r="F743" s="24"/>
      <c r="G743" s="25"/>
      <c r="H743" s="2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35"/>
      <c r="E744" s="36"/>
      <c r="F744" s="24"/>
      <c r="G744" s="25"/>
      <c r="H744" s="2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35"/>
      <c r="E745" s="36"/>
      <c r="F745" s="24"/>
      <c r="G745" s="25"/>
      <c r="H745" s="2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35"/>
      <c r="E746" s="36"/>
      <c r="F746" s="24"/>
      <c r="G746" s="25"/>
      <c r="H746" s="2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35"/>
      <c r="E747" s="36"/>
      <c r="F747" s="24"/>
      <c r="G747" s="25"/>
      <c r="H747" s="2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35"/>
      <c r="E748" s="36"/>
      <c r="F748" s="24"/>
      <c r="G748" s="25"/>
      <c r="H748" s="2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35"/>
      <c r="E749" s="36"/>
      <c r="F749" s="24"/>
      <c r="G749" s="25"/>
      <c r="H749" s="2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35"/>
      <c r="E750" s="36"/>
      <c r="F750" s="24"/>
      <c r="G750" s="25"/>
      <c r="H750" s="2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35"/>
      <c r="E751" s="36"/>
      <c r="F751" s="24"/>
      <c r="G751" s="25"/>
      <c r="H751" s="2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35"/>
      <c r="E752" s="36"/>
      <c r="F752" s="24"/>
      <c r="G752" s="25"/>
      <c r="H752" s="2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35"/>
      <c r="E753" s="36"/>
      <c r="F753" s="24"/>
      <c r="G753" s="25"/>
      <c r="H753" s="2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35"/>
      <c r="E754" s="36"/>
      <c r="F754" s="24"/>
      <c r="G754" s="25"/>
      <c r="H754" s="2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35"/>
      <c r="E755" s="36"/>
      <c r="F755" s="24"/>
      <c r="G755" s="25"/>
      <c r="H755" s="2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35"/>
      <c r="E756" s="36"/>
      <c r="F756" s="24"/>
      <c r="G756" s="25"/>
      <c r="H756" s="2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35"/>
      <c r="E757" s="36"/>
      <c r="F757" s="24"/>
      <c r="G757" s="25"/>
      <c r="H757" s="2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35"/>
      <c r="E758" s="36"/>
      <c r="F758" s="24"/>
      <c r="G758" s="25"/>
      <c r="H758" s="2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35"/>
      <c r="E759" s="36"/>
      <c r="F759" s="24"/>
      <c r="G759" s="25"/>
      <c r="H759" s="2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35"/>
      <c r="E760" s="36"/>
      <c r="F760" s="24"/>
      <c r="G760" s="25"/>
      <c r="H760" s="2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35"/>
      <c r="E761" s="36"/>
      <c r="F761" s="24"/>
      <c r="G761" s="25"/>
      <c r="H761" s="2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35"/>
      <c r="E762" s="36"/>
      <c r="F762" s="24"/>
      <c r="G762" s="25"/>
      <c r="H762" s="2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35"/>
      <c r="E763" s="36"/>
      <c r="F763" s="24"/>
      <c r="G763" s="25"/>
      <c r="H763" s="2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35"/>
      <c r="E764" s="36"/>
      <c r="F764" s="24"/>
      <c r="G764" s="25"/>
      <c r="H764" s="2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35"/>
      <c r="E765" s="36"/>
      <c r="F765" s="24"/>
      <c r="G765" s="25"/>
      <c r="H765" s="2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35"/>
      <c r="E766" s="36"/>
      <c r="F766" s="24"/>
      <c r="G766" s="25"/>
      <c r="H766" s="2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35"/>
      <c r="E767" s="36"/>
      <c r="F767" s="24"/>
      <c r="G767" s="25"/>
      <c r="H767" s="2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35"/>
      <c r="E768" s="36"/>
      <c r="F768" s="24"/>
      <c r="G768" s="25"/>
      <c r="H768" s="2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35"/>
      <c r="E769" s="36"/>
      <c r="F769" s="24"/>
      <c r="G769" s="25"/>
      <c r="H769" s="2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35"/>
      <c r="E770" s="36"/>
      <c r="F770" s="24"/>
      <c r="G770" s="25"/>
      <c r="H770" s="2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35"/>
      <c r="E771" s="36"/>
      <c r="F771" s="24"/>
      <c r="G771" s="25"/>
      <c r="H771" s="2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35"/>
      <c r="E772" s="36"/>
      <c r="F772" s="24"/>
      <c r="G772" s="25"/>
      <c r="H772" s="2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35"/>
      <c r="E773" s="36"/>
      <c r="F773" s="24"/>
      <c r="G773" s="25"/>
      <c r="H773" s="2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35"/>
      <c r="E774" s="36"/>
      <c r="F774" s="24"/>
      <c r="G774" s="25"/>
      <c r="H774" s="2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35"/>
      <c r="E775" s="36"/>
      <c r="F775" s="24"/>
      <c r="G775" s="25"/>
      <c r="H775" s="2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35"/>
      <c r="E776" s="36"/>
      <c r="F776" s="24"/>
      <c r="G776" s="25"/>
      <c r="H776" s="2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35"/>
      <c r="E777" s="36"/>
      <c r="F777" s="24"/>
      <c r="G777" s="25"/>
      <c r="H777" s="2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35"/>
      <c r="E778" s="36"/>
      <c r="F778" s="24"/>
      <c r="G778" s="25"/>
      <c r="H778" s="2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35"/>
      <c r="E779" s="36"/>
      <c r="F779" s="24"/>
      <c r="G779" s="25"/>
      <c r="H779" s="2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35"/>
      <c r="E780" s="36"/>
      <c r="F780" s="24"/>
      <c r="G780" s="25"/>
      <c r="H780" s="2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35"/>
      <c r="E781" s="36"/>
      <c r="F781" s="24"/>
      <c r="G781" s="25"/>
      <c r="H781" s="2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35"/>
      <c r="E782" s="36"/>
      <c r="F782" s="24"/>
      <c r="G782" s="25"/>
      <c r="H782" s="2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35"/>
      <c r="E783" s="36"/>
      <c r="F783" s="24"/>
      <c r="G783" s="25"/>
      <c r="H783" s="2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35"/>
      <c r="E784" s="36"/>
      <c r="F784" s="24"/>
      <c r="G784" s="25"/>
      <c r="H784" s="2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35"/>
      <c r="E785" s="36"/>
      <c r="F785" s="24"/>
      <c r="G785" s="25"/>
      <c r="H785" s="2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35"/>
      <c r="E786" s="36"/>
      <c r="F786" s="24"/>
      <c r="G786" s="25"/>
      <c r="H786" s="2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35"/>
      <c r="E787" s="36"/>
      <c r="F787" s="24"/>
      <c r="G787" s="25"/>
      <c r="H787" s="2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35"/>
      <c r="E788" s="36"/>
      <c r="F788" s="24"/>
      <c r="G788" s="25"/>
      <c r="H788" s="2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35"/>
      <c r="E789" s="36"/>
      <c r="F789" s="24"/>
      <c r="G789" s="25"/>
      <c r="H789" s="2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35"/>
      <c r="E790" s="36"/>
      <c r="F790" s="24"/>
      <c r="G790" s="25"/>
      <c r="H790" s="2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35"/>
      <c r="E791" s="36"/>
      <c r="F791" s="24"/>
      <c r="G791" s="25"/>
      <c r="H791" s="2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35"/>
      <c r="E792" s="36"/>
      <c r="F792" s="24"/>
      <c r="G792" s="25"/>
      <c r="H792" s="2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35"/>
      <c r="E793" s="36"/>
      <c r="F793" s="24"/>
      <c r="G793" s="25"/>
      <c r="H793" s="2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35"/>
      <c r="E794" s="36"/>
      <c r="F794" s="24"/>
      <c r="G794" s="25"/>
      <c r="H794" s="2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35"/>
      <c r="E795" s="36"/>
      <c r="F795" s="24"/>
      <c r="G795" s="25"/>
      <c r="H795" s="2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35"/>
      <c r="E796" s="36"/>
      <c r="F796" s="24"/>
      <c r="G796" s="25"/>
      <c r="H796" s="2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35"/>
      <c r="E797" s="36"/>
      <c r="F797" s="24"/>
      <c r="G797" s="25"/>
      <c r="H797" s="2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35"/>
      <c r="E798" s="36"/>
      <c r="F798" s="24"/>
      <c r="G798" s="25"/>
      <c r="H798" s="2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35"/>
      <c r="E799" s="36"/>
      <c r="F799" s="24"/>
      <c r="G799" s="25"/>
      <c r="H799" s="2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35"/>
      <c r="E800" s="36"/>
      <c r="F800" s="24"/>
      <c r="G800" s="25"/>
      <c r="H800" s="2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35"/>
      <c r="E801" s="36"/>
      <c r="F801" s="24"/>
      <c r="G801" s="25"/>
      <c r="H801" s="2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35"/>
      <c r="E802" s="36"/>
      <c r="F802" s="24"/>
      <c r="G802" s="25"/>
      <c r="H802" s="2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35"/>
      <c r="E803" s="36"/>
      <c r="F803" s="24"/>
      <c r="G803" s="25"/>
      <c r="H803" s="2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35"/>
      <c r="E804" s="36"/>
      <c r="F804" s="24"/>
      <c r="G804" s="25"/>
      <c r="H804" s="2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35"/>
      <c r="E805" s="36"/>
      <c r="F805" s="24"/>
      <c r="G805" s="25"/>
      <c r="H805" s="2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35"/>
      <c r="E806" s="36"/>
      <c r="F806" s="24"/>
      <c r="G806" s="25"/>
      <c r="H806" s="2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35"/>
      <c r="E807" s="36"/>
      <c r="F807" s="24"/>
      <c r="G807" s="25"/>
      <c r="H807" s="2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35"/>
      <c r="E808" s="36"/>
      <c r="F808" s="24"/>
      <c r="G808" s="25"/>
      <c r="H808" s="2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35"/>
      <c r="E809" s="36"/>
      <c r="F809" s="24"/>
      <c r="G809" s="25"/>
      <c r="H809" s="2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35"/>
      <c r="E810" s="36"/>
      <c r="F810" s="24"/>
      <c r="G810" s="25"/>
      <c r="H810" s="2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35"/>
      <c r="E811" s="36"/>
      <c r="F811" s="24"/>
      <c r="G811" s="25"/>
      <c r="H811" s="2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35"/>
      <c r="E812" s="36"/>
      <c r="F812" s="24"/>
      <c r="G812" s="25"/>
      <c r="H812" s="2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35"/>
      <c r="E813" s="36"/>
      <c r="F813" s="24"/>
      <c r="G813" s="25"/>
      <c r="H813" s="2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35"/>
      <c r="E814" s="36"/>
      <c r="F814" s="24"/>
      <c r="G814" s="25"/>
      <c r="H814" s="2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35"/>
      <c r="E815" s="36"/>
      <c r="F815" s="24"/>
      <c r="G815" s="25"/>
      <c r="H815" s="2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35"/>
      <c r="E816" s="36"/>
      <c r="F816" s="24"/>
      <c r="G816" s="25"/>
      <c r="H816" s="2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35"/>
      <c r="E817" s="36"/>
      <c r="F817" s="24"/>
      <c r="G817" s="25"/>
      <c r="H817" s="2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35"/>
      <c r="E818" s="36"/>
      <c r="F818" s="24"/>
      <c r="G818" s="25"/>
      <c r="H818" s="2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35"/>
      <c r="E819" s="36"/>
      <c r="F819" s="24"/>
      <c r="G819" s="25"/>
      <c r="H819" s="2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35"/>
      <c r="E820" s="36"/>
      <c r="F820" s="24"/>
      <c r="G820" s="25"/>
      <c r="H820" s="2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35"/>
      <c r="E821" s="36"/>
      <c r="F821" s="24"/>
      <c r="G821" s="25"/>
      <c r="H821" s="2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35"/>
      <c r="E822" s="36"/>
      <c r="F822" s="24"/>
      <c r="G822" s="25"/>
      <c r="H822" s="2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35"/>
      <c r="E823" s="36"/>
      <c r="F823" s="24"/>
      <c r="G823" s="25"/>
      <c r="H823" s="2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35"/>
      <c r="E824" s="36"/>
      <c r="F824" s="24"/>
      <c r="G824" s="25"/>
      <c r="H824" s="2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35"/>
      <c r="E825" s="36"/>
      <c r="F825" s="24"/>
      <c r="G825" s="25"/>
      <c r="H825" s="2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35"/>
      <c r="E826" s="36"/>
      <c r="F826" s="24"/>
      <c r="G826" s="25"/>
      <c r="H826" s="2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35"/>
      <c r="E827" s="36"/>
      <c r="F827" s="24"/>
      <c r="G827" s="25"/>
      <c r="H827" s="2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35"/>
      <c r="E828" s="36"/>
      <c r="F828" s="24"/>
      <c r="G828" s="25"/>
      <c r="H828" s="2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35"/>
      <c r="E829" s="36"/>
      <c r="F829" s="24"/>
      <c r="G829" s="25"/>
      <c r="H829" s="2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35"/>
      <c r="E830" s="36"/>
      <c r="F830" s="24"/>
      <c r="G830" s="25"/>
      <c r="H830" s="2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35"/>
      <c r="E831" s="36"/>
      <c r="F831" s="24"/>
      <c r="G831" s="25"/>
      <c r="H831" s="2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35"/>
      <c r="E832" s="36"/>
      <c r="F832" s="24"/>
      <c r="G832" s="25"/>
      <c r="H832" s="2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35"/>
      <c r="E833" s="36"/>
      <c r="F833" s="24"/>
      <c r="G833" s="25"/>
      <c r="H833" s="2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35"/>
      <c r="E834" s="36"/>
      <c r="F834" s="24"/>
      <c r="G834" s="25"/>
      <c r="H834" s="2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35"/>
      <c r="E835" s="36"/>
      <c r="F835" s="24"/>
      <c r="G835" s="25"/>
      <c r="H835" s="2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35"/>
      <c r="E836" s="36"/>
      <c r="F836" s="24"/>
      <c r="G836" s="25"/>
      <c r="H836" s="2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35"/>
      <c r="E837" s="36"/>
      <c r="F837" s="24"/>
      <c r="G837" s="25"/>
      <c r="H837" s="2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35"/>
      <c r="E838" s="36"/>
      <c r="F838" s="24"/>
      <c r="G838" s="25"/>
      <c r="H838" s="2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35"/>
      <c r="E839" s="36"/>
      <c r="F839" s="24"/>
      <c r="G839" s="25"/>
      <c r="H839" s="2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35"/>
      <c r="E840" s="36"/>
      <c r="F840" s="24"/>
      <c r="G840" s="25"/>
      <c r="H840" s="2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35"/>
      <c r="E841" s="36"/>
      <c r="F841" s="24"/>
      <c r="G841" s="25"/>
      <c r="H841" s="2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35"/>
      <c r="E842" s="36"/>
      <c r="F842" s="24"/>
      <c r="G842" s="25"/>
      <c r="H842" s="2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35"/>
      <c r="E843" s="36"/>
      <c r="F843" s="24"/>
      <c r="G843" s="25"/>
      <c r="H843" s="2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35"/>
      <c r="E844" s="36"/>
      <c r="F844" s="24"/>
      <c r="G844" s="25"/>
      <c r="H844" s="2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35"/>
      <c r="E845" s="36"/>
      <c r="F845" s="24"/>
      <c r="G845" s="25"/>
      <c r="H845" s="2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35"/>
      <c r="E846" s="36"/>
      <c r="F846" s="24"/>
      <c r="G846" s="25"/>
      <c r="H846" s="2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35"/>
      <c r="E847" s="36"/>
      <c r="F847" s="24"/>
      <c r="G847" s="25"/>
      <c r="H847" s="2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35"/>
      <c r="E848" s="36"/>
      <c r="F848" s="24"/>
      <c r="G848" s="25"/>
      <c r="H848" s="2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35"/>
      <c r="E849" s="36"/>
      <c r="F849" s="24"/>
      <c r="G849" s="25"/>
      <c r="H849" s="2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35"/>
      <c r="E850" s="36"/>
      <c r="F850" s="24"/>
      <c r="G850" s="25"/>
      <c r="H850" s="2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35"/>
      <c r="E851" s="36"/>
      <c r="F851" s="24"/>
      <c r="G851" s="25"/>
      <c r="H851" s="2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35"/>
      <c r="E852" s="36"/>
      <c r="F852" s="24"/>
      <c r="G852" s="25"/>
      <c r="H852" s="2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35"/>
      <c r="E853" s="36"/>
      <c r="F853" s="24"/>
      <c r="G853" s="25"/>
      <c r="H853" s="2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35"/>
      <c r="E854" s="36"/>
      <c r="F854" s="24"/>
      <c r="G854" s="25"/>
      <c r="H854" s="2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35"/>
      <c r="E855" s="36"/>
      <c r="F855" s="24"/>
      <c r="G855" s="25"/>
      <c r="H855" s="2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35"/>
      <c r="E856" s="36"/>
      <c r="F856" s="24"/>
      <c r="G856" s="25"/>
      <c r="H856" s="2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35"/>
      <c r="E857" s="36"/>
      <c r="F857" s="24"/>
      <c r="G857" s="25"/>
      <c r="H857" s="2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35"/>
      <c r="E858" s="36"/>
      <c r="F858" s="24"/>
      <c r="G858" s="25"/>
      <c r="H858" s="2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35"/>
      <c r="E859" s="36"/>
      <c r="F859" s="24"/>
      <c r="G859" s="25"/>
      <c r="H859" s="2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35"/>
      <c r="E860" s="36"/>
      <c r="F860" s="24"/>
      <c r="G860" s="25"/>
      <c r="H860" s="2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35"/>
      <c r="E861" s="36"/>
      <c r="F861" s="24"/>
      <c r="G861" s="25"/>
      <c r="H861" s="2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35"/>
      <c r="E862" s="36"/>
      <c r="F862" s="24"/>
      <c r="G862" s="25"/>
      <c r="H862" s="2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35"/>
      <c r="E863" s="36"/>
      <c r="F863" s="24"/>
      <c r="G863" s="25"/>
      <c r="H863" s="2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35"/>
      <c r="E864" s="36"/>
      <c r="F864" s="24"/>
      <c r="G864" s="25"/>
      <c r="H864" s="2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35"/>
      <c r="E865" s="36"/>
      <c r="F865" s="24"/>
      <c r="G865" s="25"/>
      <c r="H865" s="2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35"/>
      <c r="E866" s="36"/>
      <c r="F866" s="24"/>
      <c r="G866" s="25"/>
      <c r="H866" s="2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35"/>
      <c r="E867" s="36"/>
      <c r="F867" s="24"/>
      <c r="G867" s="25"/>
      <c r="H867" s="2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35"/>
      <c r="E868" s="36"/>
      <c r="F868" s="24"/>
      <c r="G868" s="25"/>
      <c r="H868" s="2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35"/>
      <c r="E869" s="36"/>
      <c r="F869" s="24"/>
      <c r="G869" s="25"/>
      <c r="H869" s="2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35"/>
      <c r="E870" s="36"/>
      <c r="F870" s="24"/>
      <c r="G870" s="25"/>
      <c r="H870" s="2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35"/>
      <c r="E871" s="36"/>
      <c r="F871" s="24"/>
      <c r="G871" s="25"/>
      <c r="H871" s="2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35"/>
      <c r="E872" s="36"/>
      <c r="F872" s="24"/>
      <c r="G872" s="25"/>
      <c r="H872" s="2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35"/>
      <c r="E873" s="36"/>
      <c r="F873" s="24"/>
      <c r="G873" s="25"/>
      <c r="H873" s="2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35"/>
      <c r="E874" s="36"/>
      <c r="F874" s="24"/>
      <c r="G874" s="25"/>
      <c r="H874" s="2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35"/>
      <c r="E875" s="36"/>
      <c r="F875" s="24"/>
      <c r="G875" s="25"/>
      <c r="H875" s="2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35"/>
      <c r="E876" s="36"/>
      <c r="F876" s="24"/>
      <c r="G876" s="25"/>
      <c r="H876" s="2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35"/>
      <c r="E877" s="36"/>
      <c r="F877" s="24"/>
      <c r="G877" s="25"/>
      <c r="H877" s="2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35"/>
      <c r="E878" s="36"/>
      <c r="F878" s="24"/>
      <c r="G878" s="25"/>
      <c r="H878" s="2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35"/>
      <c r="E879" s="36"/>
      <c r="F879" s="24"/>
      <c r="G879" s="25"/>
      <c r="H879" s="2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35"/>
      <c r="E880" s="36"/>
      <c r="F880" s="24"/>
      <c r="G880" s="25"/>
      <c r="H880" s="2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35"/>
      <c r="E881" s="36"/>
      <c r="F881" s="24"/>
      <c r="G881" s="25"/>
      <c r="H881" s="2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35"/>
      <c r="E882" s="36"/>
      <c r="F882" s="24"/>
      <c r="G882" s="25"/>
      <c r="H882" s="2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35"/>
      <c r="E883" s="36"/>
      <c r="F883" s="24"/>
      <c r="G883" s="25"/>
      <c r="H883" s="2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35"/>
      <c r="E884" s="36"/>
      <c r="F884" s="24"/>
      <c r="G884" s="25"/>
      <c r="H884" s="2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35"/>
      <c r="E885" s="36"/>
      <c r="F885" s="24"/>
      <c r="G885" s="25"/>
      <c r="H885" s="2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35"/>
      <c r="E886" s="36"/>
      <c r="F886" s="24"/>
      <c r="G886" s="25"/>
      <c r="H886" s="2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35"/>
      <c r="E887" s="36"/>
      <c r="F887" s="24"/>
      <c r="G887" s="25"/>
      <c r="H887" s="2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35"/>
      <c r="E888" s="36"/>
      <c r="F888" s="24"/>
      <c r="G888" s="25"/>
      <c r="H888" s="2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35"/>
      <c r="E889" s="36"/>
      <c r="F889" s="24"/>
      <c r="G889" s="25"/>
      <c r="H889" s="2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35"/>
      <c r="E890" s="36"/>
      <c r="F890" s="24"/>
      <c r="G890" s="25"/>
      <c r="H890" s="2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35"/>
      <c r="E891" s="36"/>
      <c r="F891" s="24"/>
      <c r="G891" s="25"/>
      <c r="H891" s="2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35"/>
      <c r="E892" s="36"/>
      <c r="F892" s="24"/>
      <c r="G892" s="25"/>
      <c r="H892" s="2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35"/>
      <c r="E893" s="36"/>
      <c r="F893" s="24"/>
      <c r="G893" s="25"/>
      <c r="H893" s="2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35"/>
      <c r="E894" s="36"/>
      <c r="F894" s="24"/>
      <c r="G894" s="25"/>
      <c r="H894" s="2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35"/>
      <c r="E895" s="36"/>
      <c r="F895" s="24"/>
      <c r="G895" s="25"/>
      <c r="H895" s="2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35"/>
      <c r="E896" s="36"/>
      <c r="F896" s="24"/>
      <c r="G896" s="25"/>
      <c r="H896" s="2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35"/>
      <c r="E897" s="36"/>
      <c r="F897" s="24"/>
      <c r="G897" s="25"/>
      <c r="H897" s="2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35"/>
      <c r="E898" s="36"/>
      <c r="F898" s="24"/>
      <c r="G898" s="25"/>
      <c r="H898" s="2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35"/>
      <c r="E899" s="36"/>
      <c r="F899" s="24"/>
      <c r="G899" s="25"/>
      <c r="H899" s="2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35"/>
      <c r="E900" s="36"/>
      <c r="F900" s="24"/>
      <c r="G900" s="25"/>
      <c r="H900" s="2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35"/>
      <c r="E901" s="36"/>
      <c r="F901" s="24"/>
      <c r="G901" s="25"/>
      <c r="H901" s="2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35"/>
      <c r="E902" s="36"/>
      <c r="F902" s="24"/>
      <c r="G902" s="25"/>
      <c r="H902" s="2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35"/>
      <c r="E903" s="36"/>
      <c r="F903" s="24"/>
      <c r="G903" s="25"/>
      <c r="H903" s="2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35"/>
      <c r="E904" s="36"/>
      <c r="F904" s="24"/>
      <c r="G904" s="25"/>
      <c r="H904" s="2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35"/>
      <c r="E905" s="36"/>
      <c r="F905" s="24"/>
      <c r="G905" s="25"/>
      <c r="H905" s="2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35"/>
      <c r="E906" s="36"/>
      <c r="F906" s="24"/>
      <c r="G906" s="25"/>
      <c r="H906" s="2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35"/>
      <c r="E907" s="36"/>
      <c r="F907" s="24"/>
      <c r="G907" s="25"/>
      <c r="H907" s="2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35"/>
      <c r="E908" s="36"/>
      <c r="F908" s="24"/>
      <c r="G908" s="25"/>
      <c r="H908" s="2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35"/>
      <c r="E909" s="36"/>
      <c r="F909" s="24"/>
      <c r="G909" s="25"/>
      <c r="H909" s="2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35"/>
      <c r="E910" s="36"/>
      <c r="F910" s="24"/>
      <c r="G910" s="25"/>
      <c r="H910" s="2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35"/>
      <c r="E911" s="36"/>
      <c r="F911" s="24"/>
      <c r="G911" s="25"/>
      <c r="H911" s="2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35"/>
      <c r="E912" s="36"/>
      <c r="F912" s="24"/>
      <c r="G912" s="25"/>
      <c r="H912" s="2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35"/>
      <c r="E913" s="36"/>
      <c r="F913" s="24"/>
      <c r="G913" s="25"/>
      <c r="H913" s="2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35"/>
      <c r="E914" s="36"/>
      <c r="F914" s="24"/>
      <c r="G914" s="25"/>
      <c r="H914" s="2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35"/>
      <c r="E915" s="36"/>
      <c r="F915" s="24"/>
      <c r="G915" s="25"/>
      <c r="H915" s="2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35"/>
      <c r="E916" s="36"/>
      <c r="F916" s="24"/>
      <c r="G916" s="25"/>
      <c r="H916" s="2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35"/>
      <c r="E917" s="36"/>
      <c r="F917" s="24"/>
      <c r="G917" s="25"/>
      <c r="H917" s="2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35"/>
      <c r="E918" s="36"/>
      <c r="F918" s="24"/>
      <c r="G918" s="25"/>
      <c r="H918" s="2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35"/>
      <c r="E919" s="36"/>
      <c r="F919" s="24"/>
      <c r="G919" s="25"/>
      <c r="H919" s="2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35"/>
      <c r="E920" s="36"/>
      <c r="F920" s="24"/>
      <c r="G920" s="25"/>
      <c r="H920" s="2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35"/>
      <c r="E921" s="36"/>
      <c r="F921" s="24"/>
      <c r="G921" s="25"/>
      <c r="H921" s="2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35"/>
      <c r="E922" s="36"/>
      <c r="F922" s="24"/>
      <c r="G922" s="25"/>
      <c r="H922" s="2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35"/>
      <c r="E923" s="36"/>
      <c r="F923" s="24"/>
      <c r="G923" s="25"/>
      <c r="H923" s="2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35"/>
      <c r="E924" s="36"/>
      <c r="F924" s="24"/>
      <c r="G924" s="25"/>
      <c r="H924" s="2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35"/>
      <c r="E925" s="36"/>
      <c r="F925" s="24"/>
      <c r="G925" s="25"/>
      <c r="H925" s="2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35"/>
      <c r="E926" s="36"/>
      <c r="F926" s="24"/>
      <c r="G926" s="25"/>
      <c r="H926" s="2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35"/>
      <c r="E927" s="36"/>
      <c r="F927" s="24"/>
      <c r="G927" s="25"/>
      <c r="H927" s="2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35"/>
      <c r="E928" s="36"/>
      <c r="F928" s="24"/>
      <c r="G928" s="25"/>
      <c r="H928" s="2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35"/>
      <c r="E929" s="36"/>
      <c r="F929" s="24"/>
      <c r="G929" s="25"/>
      <c r="H929" s="2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35"/>
      <c r="E930" s="36"/>
      <c r="F930" s="24"/>
      <c r="G930" s="25"/>
      <c r="H930" s="2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35"/>
      <c r="E931" s="36"/>
      <c r="F931" s="24"/>
      <c r="G931" s="25"/>
      <c r="H931" s="2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35"/>
      <c r="E932" s="36"/>
      <c r="F932" s="24"/>
      <c r="G932" s="25"/>
      <c r="H932" s="2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35"/>
      <c r="E933" s="36"/>
      <c r="F933" s="24"/>
      <c r="G933" s="25"/>
      <c r="H933" s="2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35"/>
      <c r="E934" s="36"/>
      <c r="F934" s="24"/>
      <c r="G934" s="25"/>
      <c r="H934" s="2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35"/>
      <c r="E935" s="36"/>
      <c r="F935" s="24"/>
      <c r="G935" s="25"/>
      <c r="H935" s="2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35"/>
      <c r="E936" s="36"/>
      <c r="F936" s="24"/>
      <c r="G936" s="25"/>
      <c r="H936" s="2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35"/>
      <c r="E937" s="36"/>
      <c r="F937" s="24"/>
      <c r="G937" s="25"/>
      <c r="H937" s="2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35"/>
      <c r="E938" s="36"/>
      <c r="F938" s="24"/>
      <c r="G938" s="25"/>
      <c r="H938" s="2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35"/>
      <c r="E939" s="36"/>
      <c r="F939" s="24"/>
      <c r="G939" s="25"/>
      <c r="H939" s="2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35"/>
      <c r="E940" s="36"/>
      <c r="F940" s="24"/>
      <c r="G940" s="25"/>
      <c r="H940" s="2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35"/>
      <c r="E941" s="36"/>
      <c r="F941" s="24"/>
      <c r="G941" s="25"/>
      <c r="H941" s="2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35"/>
      <c r="E942" s="36"/>
      <c r="F942" s="24"/>
      <c r="G942" s="25"/>
      <c r="H942" s="2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35"/>
      <c r="E943" s="36"/>
      <c r="F943" s="24"/>
      <c r="G943" s="25"/>
      <c r="H943" s="2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35"/>
      <c r="E944" s="36"/>
      <c r="F944" s="24"/>
      <c r="G944" s="25"/>
      <c r="H944" s="2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6"/>
      <c r="D945" s="35"/>
      <c r="E945" s="36"/>
      <c r="F945" s="24"/>
      <c r="G945" s="25"/>
      <c r="H945" s="2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6"/>
      <c r="D946" s="35"/>
      <c r="E946" s="36"/>
      <c r="F946" s="24"/>
      <c r="G946" s="25"/>
      <c r="H946" s="2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6"/>
      <c r="D947" s="35"/>
      <c r="E947" s="36"/>
      <c r="F947" s="24"/>
      <c r="G947" s="25"/>
      <c r="H947" s="2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6"/>
      <c r="D948" s="35"/>
      <c r="E948" s="36"/>
      <c r="F948" s="24"/>
      <c r="G948" s="25"/>
      <c r="H948" s="2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6"/>
      <c r="D949" s="35"/>
      <c r="E949" s="36"/>
      <c r="F949" s="24"/>
      <c r="G949" s="25"/>
      <c r="H949" s="2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6"/>
      <c r="D950" s="35"/>
      <c r="E950" s="36"/>
      <c r="F950" s="24"/>
      <c r="G950" s="25"/>
      <c r="H950" s="2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6"/>
      <c r="D951" s="35"/>
      <c r="E951" s="36"/>
      <c r="F951" s="24"/>
      <c r="G951" s="25"/>
      <c r="H951" s="2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6"/>
      <c r="D952" s="35"/>
      <c r="E952" s="36"/>
      <c r="F952" s="24"/>
      <c r="G952" s="25"/>
      <c r="H952" s="2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6"/>
      <c r="D953" s="35"/>
      <c r="E953" s="36"/>
      <c r="F953" s="24"/>
      <c r="G953" s="25"/>
      <c r="H953" s="2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6"/>
      <c r="D954" s="35"/>
      <c r="E954" s="36"/>
      <c r="F954" s="24"/>
      <c r="G954" s="25"/>
      <c r="H954" s="2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6"/>
      <c r="D955" s="35"/>
      <c r="E955" s="36"/>
      <c r="F955" s="24"/>
      <c r="G955" s="25"/>
      <c r="H955" s="2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6"/>
      <c r="C956" s="6"/>
      <c r="D956" s="35"/>
      <c r="E956" s="36"/>
      <c r="F956" s="24"/>
      <c r="G956" s="25"/>
      <c r="H956" s="2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6"/>
      <c r="C957" s="6"/>
      <c r="D957" s="35"/>
      <c r="E957" s="36"/>
      <c r="F957" s="24"/>
      <c r="G957" s="25"/>
      <c r="H957" s="2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6"/>
      <c r="C958" s="6"/>
      <c r="D958" s="35"/>
      <c r="E958" s="36"/>
      <c r="F958" s="24"/>
      <c r="G958" s="25"/>
      <c r="H958" s="2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6"/>
      <c r="C959" s="6"/>
      <c r="D959" s="35"/>
      <c r="E959" s="36"/>
      <c r="F959" s="24"/>
      <c r="G959" s="25"/>
      <c r="H959" s="2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6"/>
      <c r="C960" s="6"/>
      <c r="D960" s="35"/>
      <c r="E960" s="36"/>
      <c r="F960" s="24"/>
      <c r="G960" s="25"/>
      <c r="H960" s="2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6"/>
      <c r="C961" s="6"/>
      <c r="D961" s="35"/>
      <c r="E961" s="36"/>
      <c r="F961" s="24"/>
      <c r="G961" s="25"/>
      <c r="H961" s="2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6"/>
      <c r="C962" s="6"/>
      <c r="D962" s="35"/>
      <c r="E962" s="36"/>
      <c r="F962" s="24"/>
      <c r="G962" s="25"/>
      <c r="H962" s="2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6"/>
      <c r="C963" s="6"/>
      <c r="D963" s="35"/>
      <c r="E963" s="36"/>
      <c r="F963" s="24"/>
      <c r="G963" s="25"/>
      <c r="H963" s="2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6"/>
      <c r="C964" s="6"/>
      <c r="D964" s="35"/>
      <c r="E964" s="36"/>
      <c r="F964" s="24"/>
      <c r="G964" s="25"/>
      <c r="H964" s="2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6"/>
      <c r="C965" s="6"/>
      <c r="D965" s="35"/>
      <c r="E965" s="36"/>
      <c r="F965" s="24"/>
      <c r="G965" s="25"/>
      <c r="H965" s="2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6"/>
      <c r="C966" s="6"/>
      <c r="D966" s="35"/>
      <c r="E966" s="36"/>
      <c r="F966" s="24"/>
      <c r="G966" s="25"/>
      <c r="H966" s="2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6"/>
      <c r="C967" s="6"/>
      <c r="D967" s="35"/>
      <c r="E967" s="36"/>
      <c r="F967" s="24"/>
      <c r="G967" s="25"/>
      <c r="H967" s="2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6"/>
      <c r="C968" s="6"/>
      <c r="D968" s="35"/>
      <c r="E968" s="36"/>
      <c r="F968" s="24"/>
      <c r="G968" s="25"/>
      <c r="H968" s="2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6"/>
      <c r="C969" s="6"/>
      <c r="D969" s="35"/>
      <c r="E969" s="36"/>
      <c r="F969" s="24"/>
      <c r="G969" s="25"/>
      <c r="H969" s="2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6"/>
      <c r="C970" s="6"/>
      <c r="D970" s="35"/>
      <c r="E970" s="36"/>
      <c r="F970" s="24"/>
      <c r="G970" s="25"/>
      <c r="H970" s="2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6"/>
      <c r="C971" s="6"/>
      <c r="D971" s="35"/>
      <c r="E971" s="36"/>
      <c r="F971" s="24"/>
      <c r="G971" s="25"/>
      <c r="H971" s="2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6"/>
      <c r="C972" s="6"/>
      <c r="D972" s="35"/>
      <c r="E972" s="36"/>
      <c r="F972" s="24"/>
      <c r="G972" s="25"/>
      <c r="H972" s="2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6"/>
      <c r="C973" s="6"/>
      <c r="D973" s="35"/>
      <c r="E973" s="36"/>
      <c r="F973" s="24"/>
      <c r="G973" s="25"/>
      <c r="H973" s="2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6"/>
      <c r="C974" s="6"/>
      <c r="D974" s="35"/>
      <c r="E974" s="36"/>
      <c r="F974" s="24"/>
      <c r="G974" s="25"/>
      <c r="H974" s="2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6"/>
      <c r="C975" s="6"/>
      <c r="D975" s="35"/>
      <c r="E975" s="36"/>
      <c r="F975" s="24"/>
      <c r="G975" s="25"/>
      <c r="H975" s="2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6"/>
      <c r="C976" s="6"/>
      <c r="D976" s="35"/>
      <c r="E976" s="36"/>
      <c r="F976" s="24"/>
      <c r="G976" s="25"/>
      <c r="H976" s="2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6"/>
      <c r="C977" s="6"/>
      <c r="D977" s="35"/>
      <c r="E977" s="36"/>
      <c r="F977" s="24"/>
      <c r="G977" s="25"/>
      <c r="H977" s="2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6"/>
      <c r="C978" s="6"/>
      <c r="D978" s="35"/>
      <c r="E978" s="36"/>
      <c r="F978" s="24"/>
      <c r="G978" s="25"/>
      <c r="H978" s="2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6"/>
      <c r="C979" s="6"/>
      <c r="D979" s="35"/>
      <c r="E979" s="36"/>
      <c r="F979" s="24"/>
      <c r="G979" s="25"/>
      <c r="H979" s="2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6"/>
      <c r="C980" s="6"/>
      <c r="D980" s="35"/>
      <c r="E980" s="36"/>
      <c r="F980" s="24"/>
      <c r="G980" s="25"/>
      <c r="H980" s="2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6"/>
      <c r="C981" s="6"/>
      <c r="D981" s="35"/>
      <c r="E981" s="36"/>
      <c r="F981" s="24"/>
      <c r="G981" s="25"/>
      <c r="H981" s="2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6"/>
      <c r="C982" s="6"/>
      <c r="D982" s="35"/>
      <c r="E982" s="36"/>
      <c r="F982" s="24"/>
      <c r="G982" s="25"/>
      <c r="H982" s="2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6"/>
      <c r="C983" s="6"/>
      <c r="D983" s="35"/>
      <c r="E983" s="36"/>
      <c r="F983" s="24"/>
      <c r="G983" s="25"/>
      <c r="H983" s="2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6"/>
      <c r="C984" s="6"/>
      <c r="D984" s="35"/>
      <c r="E984" s="36"/>
      <c r="F984" s="24"/>
      <c r="G984" s="25"/>
      <c r="H984" s="2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6"/>
      <c r="C985" s="6"/>
      <c r="D985" s="35"/>
      <c r="E985" s="36"/>
      <c r="F985" s="24"/>
      <c r="G985" s="25"/>
      <c r="H985" s="2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6"/>
      <c r="C986" s="6"/>
      <c r="D986" s="35"/>
      <c r="E986" s="36"/>
      <c r="F986" s="24"/>
      <c r="G986" s="25"/>
      <c r="H986" s="2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6"/>
      <c r="C987" s="6"/>
      <c r="D987" s="35"/>
      <c r="E987" s="36"/>
      <c r="F987" s="24"/>
      <c r="G987" s="25"/>
      <c r="H987" s="2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6"/>
      <c r="C988" s="6"/>
      <c r="D988" s="35"/>
      <c r="E988" s="36"/>
      <c r="F988" s="24"/>
      <c r="G988" s="25"/>
      <c r="H988" s="2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6"/>
      <c r="C989" s="6"/>
      <c r="D989" s="35"/>
      <c r="E989" s="36"/>
      <c r="F989" s="24"/>
      <c r="G989" s="25"/>
      <c r="H989" s="2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6"/>
      <c r="C990" s="6"/>
      <c r="D990" s="35"/>
      <c r="E990" s="36"/>
      <c r="F990" s="24"/>
      <c r="G990" s="25"/>
      <c r="H990" s="2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6"/>
      <c r="C991" s="6"/>
      <c r="D991" s="35"/>
      <c r="E991" s="36"/>
      <c r="F991" s="24"/>
      <c r="G991" s="25"/>
      <c r="H991" s="2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6"/>
      <c r="C992" s="6"/>
      <c r="D992" s="35"/>
      <c r="E992" s="36"/>
      <c r="F992" s="24"/>
      <c r="G992" s="25"/>
      <c r="H992" s="2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6"/>
      <c r="C993" s="6"/>
      <c r="D993" s="35"/>
      <c r="E993" s="36"/>
      <c r="F993" s="24"/>
      <c r="G993" s="25"/>
      <c r="H993" s="2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6"/>
      <c r="C994" s="6"/>
      <c r="D994" s="35"/>
      <c r="E994" s="36"/>
      <c r="F994" s="24"/>
      <c r="G994" s="25"/>
      <c r="H994" s="2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6"/>
      <c r="B995" s="6"/>
      <c r="C995" s="6"/>
      <c r="D995" s="35"/>
      <c r="E995" s="36"/>
      <c r="F995" s="24"/>
      <c r="G995" s="25"/>
      <c r="H995" s="2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6"/>
      <c r="B996" s="6"/>
      <c r="C996" s="6"/>
      <c r="D996" s="35"/>
      <c r="E996" s="36"/>
      <c r="F996" s="24"/>
      <c r="G996" s="25"/>
      <c r="H996" s="2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6"/>
      <c r="B997" s="6"/>
      <c r="C997" s="6"/>
      <c r="D997" s="35"/>
      <c r="E997" s="36"/>
      <c r="F997" s="24"/>
      <c r="G997" s="25"/>
      <c r="H997" s="2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6"/>
      <c r="B998" s="6"/>
      <c r="C998" s="6"/>
      <c r="D998" s="35"/>
      <c r="E998" s="36"/>
      <c r="F998" s="24"/>
      <c r="G998" s="25"/>
      <c r="H998" s="2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6"/>
      <c r="B999" s="6"/>
      <c r="C999" s="6"/>
      <c r="D999" s="35"/>
      <c r="E999" s="36"/>
      <c r="F999" s="24"/>
      <c r="G999" s="25"/>
      <c r="H999" s="2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6"/>
      <c r="B1000" s="6"/>
      <c r="C1000" s="6"/>
      <c r="D1000" s="35"/>
      <c r="E1000" s="36"/>
      <c r="F1000" s="24"/>
      <c r="G1000" s="25"/>
      <c r="H1000" s="2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>
      <c r="A1001" s="6"/>
      <c r="B1001" s="6"/>
      <c r="C1001" s="6"/>
      <c r="D1001" s="35"/>
      <c r="E1001" s="36"/>
      <c r="F1001" s="24"/>
      <c r="G1001" s="25"/>
      <c r="H1001" s="2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  <row r="1002">
      <c r="A1002" s="6"/>
      <c r="B1002" s="6"/>
      <c r="C1002" s="6"/>
      <c r="D1002" s="35"/>
      <c r="E1002" s="36"/>
      <c r="F1002" s="24"/>
      <c r="G1002" s="25"/>
      <c r="H1002" s="2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</row>
    <row r="1003">
      <c r="A1003" s="6"/>
      <c r="B1003" s="6"/>
      <c r="C1003" s="6"/>
      <c r="D1003" s="35"/>
      <c r="E1003" s="36"/>
      <c r="F1003" s="24"/>
      <c r="G1003" s="25"/>
      <c r="H1003" s="2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</row>
    <row r="1004">
      <c r="A1004" s="6"/>
      <c r="B1004" s="6"/>
      <c r="C1004" s="6"/>
      <c r="D1004" s="35"/>
      <c r="E1004" s="36"/>
      <c r="F1004" s="24"/>
      <c r="G1004" s="25"/>
      <c r="H1004" s="2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</row>
    <row r="1005">
      <c r="A1005" s="6"/>
      <c r="B1005" s="6"/>
      <c r="C1005" s="6"/>
      <c r="D1005" s="35"/>
      <c r="E1005" s="36"/>
      <c r="F1005" s="24"/>
      <c r="G1005" s="25"/>
      <c r="H1005" s="2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</row>
    <row r="1006">
      <c r="A1006" s="6"/>
      <c r="B1006" s="6"/>
      <c r="C1006" s="6"/>
      <c r="D1006" s="6"/>
      <c r="E1006" s="36"/>
      <c r="F1006" s="24"/>
      <c r="G1006" s="25"/>
      <c r="H1006" s="2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</row>
    <row r="1007">
      <c r="A1007" s="6"/>
      <c r="B1007" s="6"/>
      <c r="C1007" s="6"/>
      <c r="D1007" s="6"/>
      <c r="E1007" s="36"/>
      <c r="F1007" s="24"/>
      <c r="G1007" s="25"/>
      <c r="H1007" s="2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</row>
  </sheetData>
  <dataValidations>
    <dataValidation type="list" allowBlank="1" showErrorMessage="1" sqref="C2:C181">
      <formula1>"RB,QB,WR,TE"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0.0"/>
    <col customWidth="1" min="3" max="3" width="19.5"/>
    <col customWidth="1" min="4" max="4" width="20.13"/>
    <col customWidth="1" min="5" max="5" width="15.25"/>
  </cols>
  <sheetData>
    <row r="1">
      <c r="A1" s="37"/>
      <c r="B1" s="2" t="s">
        <v>243</v>
      </c>
      <c r="C1" s="2" t="s">
        <v>244</v>
      </c>
      <c r="D1" s="2" t="s">
        <v>245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8">
        <v>1.01</v>
      </c>
      <c r="B2" s="39">
        <f>(PicksBySeason!J2+PicksBySeason!J38+PicksBySeason!J74+PicksBySeason!J110+PicksBySeason!J146+PicksBySeason!J182)/6</f>
        <v>0.8333333333</v>
      </c>
      <c r="C2" s="40">
        <f>(PicksBySeason!J2+PicksBySeason!J38+PicksBySeason!J74+PicksBySeason!J110+PicksBySeason!J146+PicksBySeason!J182+PicksBySeason!K2+PicksBySeason!K38+PicksBySeason!K74+PicksBySeason!K110+PicksBySeason!K146+PicksBySeason!K182)/6</f>
        <v>1</v>
      </c>
      <c r="D2" s="40">
        <f t="shared" ref="D2:D8" si="1">100%-C2</f>
        <v>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8" t="s">
        <v>246</v>
      </c>
      <c r="B3" s="41">
        <f>Sum(PicksBySeason!J2:J5,PicksBySeason!J38:J41,PicksBySeason!J74:J77,PicksBySeason!J110:J113,PicksBySeason!J146:J149,PicksBySeason!J182:J185)/24</f>
        <v>0.7083333333</v>
      </c>
      <c r="C3" s="40">
        <f>Sum(PicksBySeason!J2:J5,PicksBySeason!J38:J41,PicksBySeason!J74:J77,PicksBySeason!J110:J113,PicksBySeason!J146:J149,PicksBySeason!J182:J185,PicksBySeason!K2:K5,PicksBySeason!K38:K41,PicksBySeason!K74:K77,PicksBySeason!K110:K113,PicksBySeason!K146:K149,PicksBySeason!K182:K185)/24</f>
        <v>0.8333333333</v>
      </c>
      <c r="D3" s="40">
        <f t="shared" si="1"/>
        <v>0.1666666667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8" t="s">
        <v>247</v>
      </c>
      <c r="B4" s="39">
        <f>Sum(PicksBySeason!J6:J9,PicksBySeason!J42:J45,PicksBySeason!J78:J81,PicksBySeason!J114:J117,PicksBySeason!J150:J153,PicksBySeason!J186:J189)/24</f>
        <v>0.375</v>
      </c>
      <c r="C4" s="40">
        <f>Sum(PicksBySeason!J6:J9,PicksBySeason!J42:J45,PicksBySeason!J78:J81,PicksBySeason!J114:J117,PicksBySeason!J150:J153,PicksBySeason!J186:J189,PicksBySeason!K6:K9,PicksBySeason!K42:K45,PicksBySeason!K78:K81,PicksBySeason!K114:K117,PicksBySeason!K150:K153,PicksBySeason!K186:K189)/24</f>
        <v>0.4166666667</v>
      </c>
      <c r="D4" s="40">
        <f t="shared" si="1"/>
        <v>0.5833333333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8" t="s">
        <v>248</v>
      </c>
      <c r="B5" s="39">
        <f>Sum(PicksBySeason!J10:J13,PicksBySeason!J46:J49,PicksBySeason!J82:J85,PicksBySeason!J118:J121,PicksBySeason!J154:J157,PicksBySeason!J190:J193)/24</f>
        <v>0.4583333333</v>
      </c>
      <c r="C5" s="40">
        <f>Sum(PicksBySeason!J10:J13,PicksBySeason!J46:J49,PicksBySeason!J82:J85,PicksBySeason!J118:J121,PicksBySeason!J154:J157,PicksBySeason!J190:J193,PicksBySeason!K10:K13,PicksBySeason!K46:K49,PicksBySeason!K82:K85,PicksBySeason!K118:K121,PicksBySeason!K154:K157,PicksBySeason!K190:K193)/24</f>
        <v>0.625</v>
      </c>
      <c r="D5" s="40">
        <f t="shared" si="1"/>
        <v>0.375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8" t="s">
        <v>249</v>
      </c>
      <c r="B6" s="40">
        <f>Sum(PicksBySeason!J14:J19,PicksBySeason!J50:J55,PicksBySeason!J86:J91,PicksBySeason!J122:J127,PicksBySeason!J158:J163,PicksBySeason!J194:J199)/36</f>
        <v>0.2222222222</v>
      </c>
      <c r="C6" s="40">
        <f>Sum(PicksBySeason!J14:J19,PicksBySeason!J50:J55,PicksBySeason!J86:J91,PicksBySeason!J122:J127,PicksBySeason!J158:J163,PicksBySeason!J194:J199,PicksBySeason!K14:K19,PicksBySeason!K50:K55,PicksBySeason!K86:K91,PicksBySeason!K122:K127,PicksBySeason!K158:K163,PicksBySeason!K194:K199)/36</f>
        <v>0.3055555556</v>
      </c>
      <c r="D6" s="40">
        <f t="shared" si="1"/>
        <v>0.6944444444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8" t="s">
        <v>250</v>
      </c>
      <c r="B7" s="40">
        <f>Sum(PicksBySeason!J20:J25,PicksBySeason!J56:J61,PicksBySeason!J92:J97,PicksBySeason!J128:J133,PicksBySeason!J164:J169,PicksBySeason!J200:J205)/36</f>
        <v>0.1944444444</v>
      </c>
      <c r="C7" s="40">
        <f>Sum(PicksBySeason!J20:J25,PicksBySeason!J56:J61,PicksBySeason!J92:J97,PicksBySeason!J128:J133,PicksBySeason!J164:J169,PicksBySeason!J200:J205,PicksBySeason!K20:K25,PicksBySeason!K56:K61,PicksBySeason!K92:K97,PicksBySeason!K128:K133,PicksBySeason!K164:K169,PicksBySeason!K200:K205)/36</f>
        <v>0.3333333333</v>
      </c>
      <c r="D7" s="40">
        <f t="shared" si="1"/>
        <v>0.6666666667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8" t="s">
        <v>251</v>
      </c>
      <c r="B8" s="40">
        <f>Sum(PicksBySeason!J26:J37,PicksBySeason!J62:J73,PicksBySeason!J98:J109,PicksBySeason!J134:J145,PicksBySeason!J170:J181,PicksBySeason!J206:J217)/72</f>
        <v>0.08333333333</v>
      </c>
      <c r="C8" s="40">
        <f>Sum(PicksBySeason!J26:J37,PicksBySeason!J62:J73,PicksBySeason!J98:J109,PicksBySeason!J134:J145,PicksBySeason!J170:J181,PicksBySeason!J206:J217,PicksBySeason!K26:K37,PicksBySeason!K62:K73,PicksBySeason!K98:K109,PicksBySeason!K134:K145,PicksBySeason!K170:K181,PicksBySeason!K206:K217)/72</f>
        <v>0.1388888889</v>
      </c>
      <c r="D8" s="40">
        <f t="shared" si="1"/>
        <v>0.8611111111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2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2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2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2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2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2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2"/>
      <c r="B15" s="43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2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8" t="s">
        <v>252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8">
        <v>1.01</v>
      </c>
      <c r="B18" s="5" t="s">
        <v>135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8" t="s">
        <v>246</v>
      </c>
      <c r="B19" s="5" t="s">
        <v>102</v>
      </c>
      <c r="C19" s="5"/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38" t="s">
        <v>247</v>
      </c>
      <c r="B20" s="5" t="s">
        <v>141</v>
      </c>
      <c r="C20" s="5" t="s">
        <v>253</v>
      </c>
      <c r="D20" s="5" t="s">
        <v>177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38" t="s">
        <v>248</v>
      </c>
      <c r="B21" s="5" t="s">
        <v>254</v>
      </c>
      <c r="C21" s="5" t="s">
        <v>179</v>
      </c>
      <c r="D21" s="5" t="s">
        <v>216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8" t="s">
        <v>249</v>
      </c>
      <c r="B22" s="5" t="s">
        <v>152</v>
      </c>
      <c r="C22" s="5" t="s">
        <v>255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38" t="s">
        <v>250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38" t="s">
        <v>251</v>
      </c>
      <c r="B24" s="5" t="s">
        <v>233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2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42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42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42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42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42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42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42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42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42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42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42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42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4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42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42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42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42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42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42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42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42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42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42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42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42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42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42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42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42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42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42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42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42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42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42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42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42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42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42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42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42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42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42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42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42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42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42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42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42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42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42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42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42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42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42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42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42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42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42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42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42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42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42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42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42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42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42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42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42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42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42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42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42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42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42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42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42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42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42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42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42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42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42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42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42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42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42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42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42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42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42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42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42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42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42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42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42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42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42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42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42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42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42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42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42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42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42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42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42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42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42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42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42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42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42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42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42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42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42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42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42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42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42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42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42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42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42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42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42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42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42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42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42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42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42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42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42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42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42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42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42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42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42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42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42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42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42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42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42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42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42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42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42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42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42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42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42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42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42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42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42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42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42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42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42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42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42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42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42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42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42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42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42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42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42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42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42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42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42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42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42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42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42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42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42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42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42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42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42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42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42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42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42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42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42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42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42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42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42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42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42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42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42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42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42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42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42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42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42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42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42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42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42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42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42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42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42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42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42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42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42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42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42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42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42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42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42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42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42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42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42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42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42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42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42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42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42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42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42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42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42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42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42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42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42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42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42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42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42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42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42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42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42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42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42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42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42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42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42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42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42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42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42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42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42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42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42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42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42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42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42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42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42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42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42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42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42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42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42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42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42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42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42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42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42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42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42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42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42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42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42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42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42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42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42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42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42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42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42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42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42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42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42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42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42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42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42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42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42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42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42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42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42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42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42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42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42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42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42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42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42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42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42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42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42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42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42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42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42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42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42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42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42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42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42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42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42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42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42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42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42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42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42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42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42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42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42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42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42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42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42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42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42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42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42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42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42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42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42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42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42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42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42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42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42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42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42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42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42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42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42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42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42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42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42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42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42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42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42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42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42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42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42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42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42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42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42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42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42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42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42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42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42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42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42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42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42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42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42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42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42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42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42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42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42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42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42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42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42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42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42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42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42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42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42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42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42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42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42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42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42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42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42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42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42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42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42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42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42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42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42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42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42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42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42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42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42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42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42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42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42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42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42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42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42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42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42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42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42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42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42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42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42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42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42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42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42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42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42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42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42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42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42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42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42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42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42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42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42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42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42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42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42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42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42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42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42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42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42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42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42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42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42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42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42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42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42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42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42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42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42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42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42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42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42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42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42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42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42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42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42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42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42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42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42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42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42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42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42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42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42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42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42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42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42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42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42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42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42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42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42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42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42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42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42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42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42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42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42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42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42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42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42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42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42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42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42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42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42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42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42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42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42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42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42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42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42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42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42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42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42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42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42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42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42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42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42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42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42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42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42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42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42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42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42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42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42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42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42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42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42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42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42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42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42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42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42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42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42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42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42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42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42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42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42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42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42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42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42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42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42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42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42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42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42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42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42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42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42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42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42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42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42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42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42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42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42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42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42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42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42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42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42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42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42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42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42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42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42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42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42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42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42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42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42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42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42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42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42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42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42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42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42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42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42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42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42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42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42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42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42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42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42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42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42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42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42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42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42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42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42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42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42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42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42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42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42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42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42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42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42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42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42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42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42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42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42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42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42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42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42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42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42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42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42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42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42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42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42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42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42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42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42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42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42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42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42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42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42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42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42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42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42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42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42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42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42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42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42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42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42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42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42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42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42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42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42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42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42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42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42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42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42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42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42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42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42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42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42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42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42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42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42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42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42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42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42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42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42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42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42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42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42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42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42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42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42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42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42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42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42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42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42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42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42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42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42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42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42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42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42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42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42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42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42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42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42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42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42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42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42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42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42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42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42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42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42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42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42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42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42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42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42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42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42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42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42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42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42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42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42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42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42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42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42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42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42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42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42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42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42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42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42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42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42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42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42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42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42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42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42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42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42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42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42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42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42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42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42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42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42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42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42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42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42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42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42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42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42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42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42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42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42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42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42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42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42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42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42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42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42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42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42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42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42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42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42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42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42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42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42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42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42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42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42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42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42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42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42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42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42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42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42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42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42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42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42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42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42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42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42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42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42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42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42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42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42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42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42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42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42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42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42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42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42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42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42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42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42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42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42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42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42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42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42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42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42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42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42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42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42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42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42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42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42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42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42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42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42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42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42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42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42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42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42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42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42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42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42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42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42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42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42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42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42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42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42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42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42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42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42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42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42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42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42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42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42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42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42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42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42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42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42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42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42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42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42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42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42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42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42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42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42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42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42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42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42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42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42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42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42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42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42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42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42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42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42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42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42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42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42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42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42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42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42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42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42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42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42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42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42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42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42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42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drawing r:id="rId1"/>
</worksheet>
</file>